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Schaalniveaus" sheetId="2" state="visible" r:id="rId2"/>
    <sheet name="Opportunity" sheetId="3" state="visible" r:id="rId3"/>
    <sheet name="Stakeholders" sheetId="4" state="visible" r:id="rId4"/>
    <sheet name="Requirements" sheetId="5" state="visible" r:id="rId5"/>
    <sheet name="System" sheetId="6" state="visible" r:id="rId6"/>
    <sheet name="Architectural Drivers" sheetId="7" state="visible" r:id="rId7"/>
    <sheet name="Architecture" sheetId="8" state="visible" r:id="rId8"/>
    <sheet name="Architecture Decisions" sheetId="9" state="visible" r:id="rId9"/>
    <sheet name="Paved Road" sheetId="10" state="visible" r:id="rId10"/>
    <sheet name="Work" sheetId="11" state="visible" r:id="rId11"/>
    <sheet name="Team" sheetId="12" state="visible" r:id="rId12"/>
    <sheet name="Way of Working" sheetId="13" state="visible" r:id="rId13"/>
    <sheet name="Governance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0">
    <font>
      <name val="Calibri"/>
      <family val="2"/>
      <color theme="1"/>
      <sz val="11"/>
      <scheme val="minor"/>
    </font>
    <font>
      <name val="Calibri"/>
      <b val="1"/>
      <color rgb="00FFFFFF"/>
      <sz val="26"/>
    </font>
    <font>
      <name val="Calibri"/>
      <color rgb="005B6472"/>
      <sz val="11"/>
    </font>
    <font>
      <name val="Calibri"/>
      <b val="1"/>
      <color rgb="00FFFFFF"/>
      <sz val="9"/>
    </font>
    <font>
      <name val="Calibri"/>
      <b val="1"/>
      <color rgb="00FFFFFF"/>
      <sz val="10"/>
    </font>
    <font>
      <name val="Calibri"/>
      <b val="1"/>
      <color rgb="0027406B"/>
      <sz val="10.5"/>
    </font>
    <font>
      <name val="Calibri"/>
      <b val="1"/>
      <color rgb="00FFFFFF"/>
      <sz val="8.5"/>
    </font>
    <font>
      <name val="Calibri"/>
      <color rgb="001C1A16"/>
      <sz val="10"/>
    </font>
    <font>
      <name val="Calibri"/>
      <b val="1"/>
      <color rgb="005B6472"/>
      <sz val="10"/>
    </font>
    <font>
      <name val="Calibri"/>
      <i val="1"/>
      <color rgb="005B6472"/>
      <sz val="9.5"/>
    </font>
    <font>
      <name val="Calibri"/>
      <b val="1"/>
      <color rgb="001C1A16"/>
      <sz val="9.5"/>
    </font>
    <font>
      <name val="Calibri"/>
      <b val="1"/>
      <color rgb="000F6E63"/>
      <sz val="10.5"/>
    </font>
    <font>
      <name val="Calibri"/>
      <b val="1"/>
      <color rgb="004B3F9E"/>
      <sz val="10.5"/>
    </font>
    <font>
      <name val="Calibri"/>
      <b val="1"/>
      <color rgb="000F6E63"/>
      <sz val="20"/>
    </font>
    <font>
      <name val="Calibri"/>
      <b val="1"/>
      <color rgb="004B3F9E"/>
      <sz val="20"/>
    </font>
    <font>
      <name val="Calibri"/>
      <b val="1"/>
      <color rgb="0027406B"/>
      <sz val="20"/>
    </font>
    <font>
      <name val="Calibri"/>
      <i val="1"/>
      <color rgb="005B6472"/>
      <sz val="9"/>
    </font>
    <font>
      <name val="Calibri"/>
      <color rgb="005B6472"/>
      <sz val="9"/>
    </font>
    <font>
      <name val="Calibri"/>
      <color rgb="000563C1"/>
      <sz val="9"/>
      <u val="single"/>
    </font>
    <font>
      <name val="Calibri"/>
      <b val="1"/>
      <color rgb="00FFFFFF"/>
      <sz val="14"/>
    </font>
    <font>
      <name val="Calibri"/>
      <color rgb="00FFFFFF"/>
      <sz val="10"/>
    </font>
    <font>
      <name val="Calibri"/>
      <color rgb="00BBBBBB"/>
      <sz val="10"/>
    </font>
    <font>
      <name val="Calibri"/>
      <b val="1"/>
      <color rgb="001C1A16"/>
      <sz val="11"/>
    </font>
    <font>
      <name val="Calibri"/>
      <b val="1"/>
      <color rgb="001C1A16"/>
      <sz val="10"/>
    </font>
    <font>
      <name val="Calibri"/>
      <b val="1"/>
      <color rgb="00FFFFFF"/>
      <sz val="22"/>
    </font>
    <font>
      <name val="Calibri"/>
      <color rgb="005B6472"/>
      <sz val="10.5"/>
    </font>
    <font>
      <name val="Calibri"/>
      <b val="1"/>
      <color rgb="005B6472"/>
      <sz val="8"/>
    </font>
    <font>
      <name val="Calibri"/>
      <b val="1"/>
      <color rgb="0027406B"/>
      <sz val="9.5"/>
    </font>
    <font>
      <name val="Calibri"/>
      <b val="1"/>
      <color rgb="00FFFFFF"/>
      <sz val="11"/>
    </font>
    <font>
      <name val="Calibri"/>
      <b val="1"/>
      <color rgb="008A6D1A"/>
      <sz val="11"/>
    </font>
    <font>
      <name val="Calibri"/>
      <b val="1"/>
      <color rgb="001E7A4D"/>
      <sz val="11"/>
    </font>
    <font>
      <name val="Calibri"/>
      <color rgb="001C2433"/>
      <sz val="10"/>
    </font>
    <font>
      <name val="Calibri"/>
      <b val="1"/>
      <color rgb="0027406B"/>
      <sz val="12"/>
    </font>
    <font>
      <name val="Calibri"/>
      <b val="1"/>
      <color rgb="0027406B"/>
      <sz val="14"/>
    </font>
    <font>
      <name val="Calibri"/>
      <b val="1"/>
      <color rgb="000F6E63"/>
      <sz val="9.5"/>
    </font>
    <font>
      <name val="Calibri"/>
      <b val="1"/>
      <color rgb="000F6E63"/>
      <sz val="12"/>
    </font>
    <font>
      <name val="Calibri"/>
      <b val="1"/>
      <color rgb="000F6E63"/>
      <sz val="14"/>
    </font>
    <font>
      <name val="Calibri"/>
      <b val="1"/>
      <color rgb="004B3F9E"/>
      <sz val="9.5"/>
    </font>
    <font>
      <name val="Calibri"/>
      <b val="1"/>
      <color rgb="004B3F9E"/>
      <sz val="12"/>
    </font>
    <font>
      <name val="Calibri"/>
      <b val="1"/>
      <color rgb="004B3F9E"/>
      <sz val="14"/>
    </font>
  </fonts>
  <fills count="16">
    <fill>
      <patternFill/>
    </fill>
    <fill>
      <patternFill patternType="gray125"/>
    </fill>
    <fill>
      <patternFill patternType="solid">
        <fgColor rgb="FF1C2433"/>
      </patternFill>
    </fill>
    <fill>
      <patternFill patternType="solid">
        <fgColor rgb="FF0F6E63"/>
      </patternFill>
    </fill>
    <fill>
      <patternFill patternType="solid">
        <fgColor rgb="FF4B3F9E"/>
      </patternFill>
    </fill>
    <fill>
      <patternFill patternType="solid">
        <fgColor rgb="FF27406B"/>
      </patternFill>
    </fill>
    <fill>
      <patternFill patternType="solid">
        <fgColor rgb="FF2E7D52"/>
      </patternFill>
    </fill>
    <fill>
      <patternFill patternType="solid">
        <fgColor rgb="FFB07D12"/>
      </patternFill>
    </fill>
    <fill>
      <patternFill patternType="solid">
        <fgColor rgb="FF2A5E9C"/>
      </patternFill>
    </fill>
    <fill>
      <patternFill patternType="solid">
        <fgColor rgb="FFDDEAE9"/>
      </patternFill>
    </fill>
    <fill>
      <patternFill patternType="solid">
        <fgColor rgb="FFE5E4F1"/>
      </patternFill>
    </fill>
    <fill>
      <patternFill patternType="solid">
        <fgColor rgb="FFE0E4EA"/>
      </patternFill>
    </fill>
    <fill>
      <patternFill patternType="solid">
        <fgColor rgb="FF6B6256"/>
      </patternFill>
    </fill>
    <fill>
      <patternFill patternType="solid">
        <fgColor rgb="FFFBF0D8"/>
      </patternFill>
    </fill>
    <fill>
      <patternFill patternType="solid">
        <fgColor rgb="FFFFFFFF"/>
      </patternFill>
    </fill>
    <fill>
      <patternFill patternType="solid">
        <fgColor rgb="FFF4F2EC"/>
      </patternFill>
    </fill>
  </fills>
  <borders count="5">
    <border>
      <left/>
      <right/>
      <top/>
      <bottom/>
      <diagonal/>
    </border>
    <border>
      <top style="thin">
        <color rgb="00FFFFFF"/>
      </top>
      <bottom style="thin">
        <color rgb="00FFFFFF"/>
      </bottom>
    </border>
    <border>
      <top/>
      <bottom style="thin">
        <color rgb="00FFFFFF"/>
      </bottom>
    </border>
    <border>
      <left style="hair">
        <color rgb="00D8D0BF"/>
      </left>
      <right style="hair">
        <color rgb="00D8D0BF"/>
      </right>
      <top style="hair">
        <color rgb="00D8D0BF"/>
      </top>
      <bottom style="hair">
        <color rgb="00D8D0BF"/>
      </bottom>
    </border>
    <border>
      <bottom style="hair">
        <color rgb="00D8D0BF"/>
      </bottom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left" vertical="center" wrapText="1" indent="1"/>
    </xf>
    <xf numFmtId="0" fontId="3" fillId="3" borderId="0" applyAlignment="1" pivotButton="0" quotePrefix="0" xfId="0">
      <alignment horizontal="left" vertical="center" indent="1"/>
    </xf>
    <xf numFmtId="0" fontId="3" fillId="4" borderId="0" applyAlignment="1" pivotButton="0" quotePrefix="0" xfId="0">
      <alignment horizontal="left" vertical="center" indent="1"/>
    </xf>
    <xf numFmtId="0" fontId="3" fillId="5" borderId="0" applyAlignment="1" pivotButton="0" quotePrefix="0" xfId="0">
      <alignment horizontal="left" vertical="center" indent="1"/>
    </xf>
    <xf numFmtId="9" fontId="13" fillId="9" borderId="0" applyAlignment="1" pivotButton="0" quotePrefix="0" xfId="0">
      <alignment horizontal="left" vertical="center" indent="1"/>
    </xf>
    <xf numFmtId="49" fontId="14" fillId="10" borderId="0" applyAlignment="1" pivotButton="0" quotePrefix="0" xfId="0">
      <alignment horizontal="left" vertical="center" indent="1"/>
    </xf>
    <xf numFmtId="49" fontId="15" fillId="11" borderId="0" applyAlignment="1" pivotButton="0" quotePrefix="0" xfId="0">
      <alignment horizontal="left" vertical="center" indent="1"/>
    </xf>
    <xf numFmtId="0" fontId="3" fillId="2" borderId="0" applyAlignment="1" pivotButton="0" quotePrefix="0" xfId="0">
      <alignment horizontal="left" vertical="center" indent="1"/>
    </xf>
    <xf numFmtId="0" fontId="4" fillId="6" borderId="0" applyAlignment="1" pivotButton="0" quotePrefix="0" xfId="0">
      <alignment horizontal="left" vertical="center" indent="2"/>
    </xf>
    <xf numFmtId="0" fontId="5" fillId="0" borderId="0" applyAlignment="1" pivotButton="0" quotePrefix="0" xfId="0">
      <alignment horizontal="left" vertical="center" indent="1"/>
    </xf>
    <xf numFmtId="0" fontId="6" fillId="5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 indent="1"/>
    </xf>
    <xf numFmtId="9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indent="1"/>
    </xf>
    <xf numFmtId="0" fontId="10" fillId="0" borderId="0" applyAlignment="1" pivotButton="0" quotePrefix="0" xfId="0">
      <alignment horizontal="left" vertical="center" indent="1"/>
    </xf>
    <xf numFmtId="0" fontId="4" fillId="7" borderId="0" applyAlignment="1" pivotButton="0" quotePrefix="0" xfId="0">
      <alignment horizontal="left" vertical="center" indent="2"/>
    </xf>
    <xf numFmtId="0" fontId="11" fillId="0" borderId="0" applyAlignment="1" pivotButton="0" quotePrefix="0" xfId="0">
      <alignment horizontal="left" vertical="center" indent="1"/>
    </xf>
    <xf numFmtId="0" fontId="4" fillId="8" borderId="0" applyAlignment="1" pivotButton="0" quotePrefix="0" xfId="0">
      <alignment horizontal="left" vertical="center" indent="2"/>
    </xf>
    <xf numFmtId="0" fontId="12" fillId="0" borderId="0" applyAlignment="1" pivotButton="0" quotePrefix="0" xfId="0">
      <alignment horizontal="left" vertical="center" indent="1"/>
    </xf>
    <xf numFmtId="0" fontId="6" fillId="4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left" vertical="center" wrapText="1" indent="1"/>
    </xf>
    <xf numFmtId="0" fontId="17" fillId="0" borderId="0" applyAlignment="1" pivotButton="0" quotePrefix="0" xfId="0">
      <alignment horizontal="left" vertical="center" indent="1"/>
    </xf>
    <xf numFmtId="0" fontId="18" fillId="0" borderId="0" applyAlignment="1" pivotButton="0" quotePrefix="0" xfId="0">
      <alignment horizontal="left" vertical="center" indent="1"/>
    </xf>
    <xf numFmtId="0" fontId="19" fillId="5" borderId="0" applyAlignment="1" pivotButton="0" quotePrefix="0" xfId="0">
      <alignment horizontal="left" vertical="center" indent="1"/>
    </xf>
    <xf numFmtId="0" fontId="20" fillId="5" borderId="0" applyAlignment="1" pivotButton="0" quotePrefix="0" xfId="0">
      <alignment horizontal="left" vertical="center" wrapText="1" indent="1"/>
    </xf>
    <xf numFmtId="0" fontId="21" fillId="2" borderId="0" applyAlignment="1" pivotButton="0" quotePrefix="0" xfId="0">
      <alignment horizontal="left" vertical="center" wrapText="1" indent="1"/>
    </xf>
    <xf numFmtId="0" fontId="20" fillId="5" borderId="0" applyAlignment="1" pivotButton="0" quotePrefix="0" xfId="0">
      <alignment horizontal="left" vertical="top" wrapText="1" indent="1"/>
    </xf>
    <xf numFmtId="0" fontId="20" fillId="3" borderId="0" applyAlignment="1" pivotButton="0" quotePrefix="0" xfId="0">
      <alignment horizontal="left" vertical="top" wrapText="1" indent="1"/>
    </xf>
    <xf numFmtId="0" fontId="20" fillId="12" borderId="0" applyAlignment="1" pivotButton="0" quotePrefix="0" xfId="0">
      <alignment horizontal="left" vertical="top" wrapText="1" indent="1"/>
    </xf>
    <xf numFmtId="0" fontId="16" fillId="0" borderId="0" applyAlignment="1" pivotButton="0" quotePrefix="0" xfId="0">
      <alignment horizontal="left" vertical="center" indent="1"/>
    </xf>
    <xf numFmtId="0" fontId="22" fillId="0" borderId="0" applyAlignment="1" pivotButton="0" quotePrefix="0" xfId="0">
      <alignment horizontal="left" vertical="center" indent="1"/>
    </xf>
    <xf numFmtId="0" fontId="23" fillId="0" borderId="0" applyAlignment="1" pivotButton="0" quotePrefix="0" xfId="0">
      <alignment horizontal="left" vertical="center" indent="1"/>
    </xf>
    <xf numFmtId="0" fontId="7" fillId="0" borderId="0" applyAlignment="1" pivotButton="0" quotePrefix="0" xfId="0">
      <alignment horizontal="left" vertical="center" wrapText="1"/>
    </xf>
    <xf numFmtId="0" fontId="24" fillId="5" borderId="0" applyAlignment="1" pivotButton="0" quotePrefix="0" xfId="0">
      <alignment horizontal="left" vertical="center" indent="1"/>
    </xf>
    <xf numFmtId="0" fontId="4" fillId="3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left" vertical="center" wrapText="1" indent="1"/>
    </xf>
    <xf numFmtId="0" fontId="26" fillId="0" borderId="0" applyAlignment="1" pivotButton="0" quotePrefix="0" xfId="0">
      <alignment horizontal="left" vertical="bottom" indent="1"/>
    </xf>
    <xf numFmtId="0" fontId="32" fillId="11" borderId="0" applyAlignment="1" pivotButton="0" quotePrefix="0" xfId="0">
      <alignment horizontal="left" vertical="center" indent="1"/>
    </xf>
    <xf numFmtId="9" fontId="33" fillId="11" borderId="0" applyAlignment="1" pivotButton="0" quotePrefix="0" xfId="0">
      <alignment horizontal="left" vertical="center" indent="1"/>
    </xf>
    <xf numFmtId="0" fontId="27" fillId="11" borderId="0" applyAlignment="1" pivotButton="0" quotePrefix="0" xfId="0">
      <alignment horizontal="left" vertical="center" indent="1"/>
    </xf>
    <xf numFmtId="0" fontId="3" fillId="2" borderId="0" applyAlignment="1" pivotButton="0" quotePrefix="0" xfId="0">
      <alignment horizontal="center" vertical="center"/>
    </xf>
    <xf numFmtId="0" fontId="28" fillId="5" borderId="1" applyAlignment="1" pivotButton="0" quotePrefix="0" xfId="0">
      <alignment horizontal="left" vertical="top" wrapText="1" indent="1"/>
    </xf>
    <xf numFmtId="0" fontId="30" fillId="14" borderId="3" applyAlignment="1" pivotButton="0" quotePrefix="0" xfId="0">
      <alignment horizontal="center" vertical="center"/>
    </xf>
    <xf numFmtId="0" fontId="31" fillId="14" borderId="4" applyAlignment="1" pivotButton="0" quotePrefix="0" xfId="0">
      <alignment horizontal="left" vertical="center" wrapText="1" indent="1"/>
    </xf>
    <xf numFmtId="0" fontId="29" fillId="13" borderId="0" applyAlignment="1" pivotButton="0" quotePrefix="0" xfId="0">
      <alignment horizontal="center" vertical="center" wrapText="1"/>
    </xf>
    <xf numFmtId="0" fontId="0" fillId="0" borderId="2" pivotButton="0" quotePrefix="0" xfId="0"/>
    <xf numFmtId="0" fontId="30" fillId="15" borderId="3" applyAlignment="1" pivotButton="0" quotePrefix="0" xfId="0">
      <alignment horizontal="center" vertical="center"/>
    </xf>
    <xf numFmtId="0" fontId="31" fillId="15" borderId="4" applyAlignment="1" pivotButton="0" quotePrefix="0" xfId="0">
      <alignment horizontal="left" vertical="center" wrapText="1" indent="1"/>
    </xf>
    <xf numFmtId="0" fontId="24" fillId="3" borderId="0" applyAlignment="1" pivotButton="0" quotePrefix="0" xfId="0">
      <alignment horizontal="left" vertical="center" indent="1"/>
    </xf>
    <xf numFmtId="0" fontId="35" fillId="9" borderId="0" applyAlignment="1" pivotButton="0" quotePrefix="0" xfId="0">
      <alignment horizontal="left" vertical="center" indent="1"/>
    </xf>
    <xf numFmtId="9" fontId="36" fillId="9" borderId="0" applyAlignment="1" pivotButton="0" quotePrefix="0" xfId="0">
      <alignment horizontal="left" vertical="center" indent="1"/>
    </xf>
    <xf numFmtId="0" fontId="34" fillId="9" borderId="0" applyAlignment="1" pivotButton="0" quotePrefix="0" xfId="0">
      <alignment horizontal="left" vertical="center" indent="1"/>
    </xf>
    <xf numFmtId="0" fontId="28" fillId="3" borderId="1" applyAlignment="1" pivotButton="0" quotePrefix="0" xfId="0">
      <alignment horizontal="left" vertical="top" wrapText="1" indent="1"/>
    </xf>
    <xf numFmtId="0" fontId="4" fillId="5" borderId="0" applyAlignment="1" pivotButton="0" quotePrefix="0" xfId="0">
      <alignment horizontal="center" vertical="center"/>
    </xf>
    <xf numFmtId="0" fontId="2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center" vertical="center"/>
    </xf>
    <xf numFmtId="0" fontId="38" fillId="10" borderId="0" applyAlignment="1" pivotButton="0" quotePrefix="0" xfId="0">
      <alignment horizontal="left" vertical="center" indent="1"/>
    </xf>
    <xf numFmtId="9" fontId="39" fillId="10" borderId="0" applyAlignment="1" pivotButton="0" quotePrefix="0" xfId="0">
      <alignment horizontal="left" vertical="center" indent="1"/>
    </xf>
    <xf numFmtId="0" fontId="37" fillId="10" borderId="0" applyAlignment="1" pivotButton="0" quotePrefix="0" xfId="0">
      <alignment horizontal="left" vertical="center" indent="1"/>
    </xf>
    <xf numFmtId="0" fontId="28" fillId="4" borderId="1" applyAlignment="1" pivotButton="0" quotePrefix="0" xfId="0">
      <alignment horizontal="left" vertical="top" wrapText="1" indent="1"/>
    </xf>
  </cellXfs>
  <cellStyles count="1">
    <cellStyle name="Normal" xfId="0" builtinId="0" hidden="0"/>
  </cellStyles>
  <dxfs count="1">
    <dxf>
      <font>
        <b val="1"/>
        <color rgb="001E7A4D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Opportunity!B2" TargetMode="External" Id="rId1" /><Relationship Type="http://schemas.openxmlformats.org/officeDocument/2006/relationships/hyperlink" Target="#Stakeholders!B2" TargetMode="External" Id="rId2" /><Relationship Type="http://schemas.openxmlformats.org/officeDocument/2006/relationships/hyperlink" Target="#Requirements!B2" TargetMode="External" Id="rId3" /><Relationship Type="http://schemas.openxmlformats.org/officeDocument/2006/relationships/hyperlink" Target="#System!B2" TargetMode="External" Id="rId4" /><Relationship Type="http://schemas.openxmlformats.org/officeDocument/2006/relationships/hyperlink" Target="#Architectural Drivers!B2" TargetMode="External" Id="rId5" /><Relationship Type="http://schemas.openxmlformats.org/officeDocument/2006/relationships/hyperlink" Target="#Architecture!B2" TargetMode="External" Id="rId6" /><Relationship Type="http://schemas.openxmlformats.org/officeDocument/2006/relationships/hyperlink" Target="#Architecture Decisions!B2" TargetMode="External" Id="rId7" /><Relationship Type="http://schemas.openxmlformats.org/officeDocument/2006/relationships/hyperlink" Target="#Paved Road!B2" TargetMode="External" Id="rId8" /><Relationship Type="http://schemas.openxmlformats.org/officeDocument/2006/relationships/hyperlink" Target="#Work!B2" TargetMode="External" Id="rId9" /><Relationship Type="http://schemas.openxmlformats.org/officeDocument/2006/relationships/hyperlink" Target="#Team!B2" TargetMode="External" Id="rId10" /><Relationship Type="http://schemas.openxmlformats.org/officeDocument/2006/relationships/hyperlink" Target="#Way of Working!B2" TargetMode="External" Id="rId11" /><Relationship Type="http://schemas.openxmlformats.org/officeDocument/2006/relationships/hyperlink" Target="#Governance!B2" TargetMode="External" Id="rId12" /><Relationship Type="http://schemas.openxmlformats.org/officeDocument/2006/relationships/hyperlink" Target="#Schaalniveaus!B1" TargetMode="External" Id="rId13" /></Relationships>
</file>

<file path=xl/worksheets/_rels/sheet3.xml.rels><Relationships xmlns="http://schemas.openxmlformats.org/package/2006/relationships"><Relationship Type="http://schemas.openxmlformats.org/officeDocument/2006/relationships/hyperlink" Target="#Dashboard!A1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#Dashboard!A1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#Dashboard!A1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#Dashboard!A1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#Dashboard!A1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#Dashboard!A1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#Dashboard!A1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#Dashboard!A1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#Dashboard!A1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#Dashboard!A1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#Dashboard!A1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#Dashboard!A1" TargetMode="External" Id="rId1" /></Relationships>
</file>

<file path=xl/worksheets/sheet1.xml><?xml version="1.0" encoding="utf-8"?>
<worksheet xmlns="http://schemas.openxmlformats.org/spreadsheetml/2006/main">
  <sheetPr>
    <tabColor rgb="001C2433"/>
    <outlinePr summaryBelow="1" summaryRight="1"/>
    <pageSetUpPr/>
  </sheetPr>
  <dimension ref="B1:O2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5" customWidth="1" min="3" max="3"/>
    <col width="13" customWidth="1" min="4" max="4"/>
    <col width="22" customWidth="1" min="5" max="5"/>
    <col width="16" customWidth="1" min="6" max="6"/>
    <col width="22" customWidth="1" min="7" max="7"/>
    <col width="18" customWidth="1" min="8" max="8"/>
    <col hidden="1" width="13" customWidth="1" min="15" max="15"/>
  </cols>
  <sheetData>
    <row r="1" ht="15" customHeight="1">
      <c r="O1">
        <f>O4/O5</f>
        <v/>
      </c>
    </row>
    <row r="2" ht="45.75" customHeight="1">
      <c r="B2" s="1" t="inlineStr">
        <is>
          <t>Essence Alpha Assessment</t>
        </is>
      </c>
    </row>
    <row r="3" ht="21.75" customHeight="1">
      <c r="B3" s="2" t="inlineStr">
        <is>
          <t>Projectvoortgang &amp; prestaties — kernel + practices, gemeten door alpha-toestand  ·  beoordeeld op solution-niveau (zie het tabblad Schaalniveaus)</t>
        </is>
      </c>
      <c r="O3" t="n">
        <v>12</v>
      </c>
    </row>
    <row r="4" ht="15" customHeight="1">
      <c r="O4">
        <f>Opportunity!M1+Stakeholders!M1+Requirements!M1+System!M1+'Architectural Drivers'!M1+Architecture!M1+'Architecture Decisions'!M1+'Paved Road'!M1+Work!M1+Team!M1+'Way of Working'!M1+Governance!M1</f>
        <v/>
      </c>
    </row>
    <row r="5" ht="18" customHeight="1">
      <c r="B5" s="3" t="inlineStr">
        <is>
          <t>TOTALE VOLTOOIING</t>
        </is>
      </c>
      <c r="D5" s="4" t="inlineStr">
        <is>
          <t>ALPHAS VOLLEDIG</t>
        </is>
      </c>
      <c r="F5" s="5" t="inlineStr">
        <is>
          <t>CHECKLISTPUNTEN</t>
        </is>
      </c>
      <c r="O5">
        <f>Opportunity!M2+Stakeholders!M2+Requirements!M2+System!M2+'Architectural Drivers'!M2+Architecture!M2+'Architecture Decisions'!M2+'Paved Road'!M2+Work!M2+Team!M2+'Way of Working'!M2+Governance!M2</f>
        <v/>
      </c>
    </row>
    <row r="6" ht="39.75" customHeight="1">
      <c r="B6" s="6">
        <f>O1</f>
        <v/>
      </c>
      <c r="D6" s="7">
        <f>COUNTIF(H10:H23,"✔ Volledig")&amp;" / "&amp;O3</f>
        <v/>
      </c>
      <c r="F6" s="8">
        <f>O4&amp;" / "&amp;O5</f>
        <v/>
      </c>
    </row>
    <row r="7" ht="7" customHeight="1"/>
    <row r="8" ht="19.5" customHeight="1">
      <c r="B8" s="9" t="inlineStr">
        <is>
          <t>ALPHA</t>
        </is>
      </c>
      <c r="C8" s="9" t="inlineStr">
        <is>
          <t>EIGENAAR</t>
        </is>
      </c>
      <c r="D8" s="9" t="inlineStr">
        <is>
          <t>NIVEAU</t>
        </is>
      </c>
      <c r="E8" s="9" t="inlineStr">
        <is>
          <t>HUIDIGE TOESTAND</t>
        </is>
      </c>
      <c r="F8" s="9" t="inlineStr">
        <is>
          <t>VOORTGANG</t>
        </is>
      </c>
      <c r="G8" s="9" t="inlineStr">
        <is>
          <t>DOELTOESTAND</t>
        </is>
      </c>
      <c r="H8" s="9" t="inlineStr">
        <is>
          <t>STATUS</t>
        </is>
      </c>
    </row>
    <row r="9" ht="19.5" customHeight="1">
      <c r="B9" s="10" t="inlineStr">
        <is>
          <t>CUSTOMER</t>
        </is>
      </c>
    </row>
    <row r="10" ht="18" customHeight="1">
      <c r="B10" s="11" t="inlineStr">
        <is>
          <t>Opportunity</t>
        </is>
      </c>
      <c r="C10" s="12" t="inlineStr">
        <is>
          <t>Kernel</t>
        </is>
      </c>
      <c r="D10" s="13" t="inlineStr">
        <is>
          <t>SOLUTION</t>
        </is>
      </c>
      <c r="E10" s="14">
        <f>Opportunity!B5</f>
        <v/>
      </c>
      <c r="F10" s="15">
        <f>Opportunity!C5</f>
        <v/>
      </c>
      <c r="G10" s="16" t="inlineStr">
        <is>
          <t>Benefit Accrued</t>
        </is>
      </c>
      <c r="H10" s="17">
        <f>IF(F10&gt;=1,"✔ Volledig",IF(F10&gt;0,"● In uitvoering","○ Niet gestart"))</f>
        <v/>
      </c>
    </row>
    <row r="11" ht="18" customHeight="1">
      <c r="B11" s="11" t="inlineStr">
        <is>
          <t>Stakeholders</t>
        </is>
      </c>
      <c r="C11" s="12" t="inlineStr">
        <is>
          <t>Kernel</t>
        </is>
      </c>
      <c r="D11" s="13" t="inlineStr">
        <is>
          <t>SOLUTION</t>
        </is>
      </c>
      <c r="E11" s="14">
        <f>Stakeholders!B5</f>
        <v/>
      </c>
      <c r="F11" s="15">
        <f>Stakeholders!C5</f>
        <v/>
      </c>
      <c r="G11" s="16" t="inlineStr">
        <is>
          <t>Satisfied in Use</t>
        </is>
      </c>
      <c r="H11" s="17">
        <f>IF(F11&gt;=1,"✔ Volledig",IF(F11&gt;0,"● In uitvoering","○ Niet gestart"))</f>
        <v/>
      </c>
    </row>
    <row r="12" ht="19.5" customHeight="1">
      <c r="B12" s="18" t="inlineStr">
        <is>
          <t>SOLUTION</t>
        </is>
      </c>
    </row>
    <row r="13" ht="18" customHeight="1">
      <c r="B13" s="11" t="inlineStr">
        <is>
          <t>Requirements</t>
        </is>
      </c>
      <c r="C13" s="12" t="inlineStr">
        <is>
          <t>Kernel</t>
        </is>
      </c>
      <c r="D13" s="13" t="inlineStr">
        <is>
          <t>SOLUTION</t>
        </is>
      </c>
      <c r="E13" s="14">
        <f>Requirements!B5</f>
        <v/>
      </c>
      <c r="F13" s="15">
        <f>Requirements!C5</f>
        <v/>
      </c>
      <c r="G13" s="16" t="inlineStr">
        <is>
          <t>Fulfilled</t>
        </is>
      </c>
      <c r="H13" s="17">
        <f>IF(F13&gt;=1,"✔ Volledig",IF(F13&gt;0,"● In uitvoering","○ Niet gestart"))</f>
        <v/>
      </c>
    </row>
    <row r="14" ht="18" customHeight="1">
      <c r="B14" s="11" t="inlineStr">
        <is>
          <t>System</t>
        </is>
      </c>
      <c r="C14" s="12" t="inlineStr">
        <is>
          <t>Kernel</t>
        </is>
      </c>
      <c r="D14" s="13" t="inlineStr">
        <is>
          <t>SOLUTION</t>
        </is>
      </c>
      <c r="E14" s="14">
        <f>System!B5</f>
        <v/>
      </c>
      <c r="F14" s="15">
        <f>System!C5</f>
        <v/>
      </c>
      <c r="G14" s="16" t="inlineStr">
        <is>
          <t>Operational</t>
        </is>
      </c>
      <c r="H14" s="17">
        <f>IF(F14&gt;=1,"✔ Volledig",IF(F14&gt;0,"● In uitvoering","○ Niet gestart"))</f>
        <v/>
      </c>
    </row>
    <row r="15" ht="18" customHeight="1">
      <c r="B15" s="19" t="inlineStr">
        <is>
          <t>Architectural Drivers</t>
        </is>
      </c>
      <c r="C15" s="13" t="inlineStr">
        <is>
          <t>MVA</t>
        </is>
      </c>
      <c r="D15" s="13" t="inlineStr">
        <is>
          <t>SOLUTION</t>
        </is>
      </c>
      <c r="E15" s="14">
        <f>'Architectural Drivers'!B5</f>
        <v/>
      </c>
      <c r="F15" s="15">
        <f>'Architectural Drivers'!C5</f>
        <v/>
      </c>
      <c r="G15" s="16" t="inlineStr">
        <is>
          <t>Sustained</t>
        </is>
      </c>
      <c r="H15" s="17">
        <f>IF(F15&gt;=1,"✔ Volledig",IF(F15&gt;0,"● In uitvoering","○ Niet gestart"))</f>
        <v/>
      </c>
    </row>
    <row r="16" ht="18" customHeight="1">
      <c r="B16" s="19" t="inlineStr">
        <is>
          <t>Architecture</t>
        </is>
      </c>
      <c r="C16" s="13" t="inlineStr">
        <is>
          <t>MVA</t>
        </is>
      </c>
      <c r="D16" s="13" t="inlineStr">
        <is>
          <t>SOLUTION</t>
        </is>
      </c>
      <c r="E16" s="14">
        <f>Architecture!B5</f>
        <v/>
      </c>
      <c r="F16" s="15">
        <f>Architecture!C5</f>
        <v/>
      </c>
      <c r="G16" s="16" t="inlineStr">
        <is>
          <t>Established</t>
        </is>
      </c>
      <c r="H16" s="17">
        <f>IF(F16&gt;=1,"✔ Volledig",IF(F16&gt;0,"● In uitvoering","○ Niet gestart"))</f>
        <v/>
      </c>
    </row>
    <row r="17" ht="18" customHeight="1">
      <c r="B17" s="19" t="inlineStr">
        <is>
          <t>Architecture Decisions</t>
        </is>
      </c>
      <c r="C17" s="13" t="inlineStr">
        <is>
          <t>MVA</t>
        </is>
      </c>
      <c r="D17" s="13" t="inlineStr">
        <is>
          <t>SOLUTION</t>
        </is>
      </c>
      <c r="E17" s="14">
        <f>'Architecture Decisions'!B5</f>
        <v/>
      </c>
      <c r="F17" s="15">
        <f>'Architecture Decisions'!C5</f>
        <v/>
      </c>
      <c r="G17" s="16" t="inlineStr">
        <is>
          <t>Validated</t>
        </is>
      </c>
      <c r="H17" s="17">
        <f>IF(F17&gt;=1,"✔ Volledig",IF(F17&gt;0,"● In uitvoering","○ Niet gestart"))</f>
        <v/>
      </c>
    </row>
    <row r="18" ht="18" customHeight="1">
      <c r="B18" s="19" t="inlineStr">
        <is>
          <t>Paved Road</t>
        </is>
      </c>
      <c r="C18" s="13" t="inlineStr">
        <is>
          <t>MVA</t>
        </is>
      </c>
      <c r="D18" s="12" t="inlineStr">
        <is>
          <t>ENTERPRISE</t>
        </is>
      </c>
      <c r="E18" s="14">
        <f>'Paved Road'!B5</f>
        <v/>
      </c>
      <c r="F18" s="15">
        <f>'Paved Road'!C5</f>
        <v/>
      </c>
      <c r="G18" s="16" t="inlineStr">
        <is>
          <t>Pervasive</t>
        </is>
      </c>
      <c r="H18" s="17">
        <f>IF(F18&gt;=1,"✔ Volledig",IF(F18&gt;0,"● In uitvoering","○ Niet gestart"))</f>
        <v/>
      </c>
    </row>
    <row r="19" ht="19.5" customHeight="1">
      <c r="B19" s="20" t="inlineStr">
        <is>
          <t>ENDEAVOR</t>
        </is>
      </c>
    </row>
    <row r="20" ht="18" customHeight="1">
      <c r="B20" s="11" t="inlineStr">
        <is>
          <t>Work</t>
        </is>
      </c>
      <c r="C20" s="12" t="inlineStr">
        <is>
          <t>Kernel</t>
        </is>
      </c>
      <c r="D20" s="13" t="inlineStr">
        <is>
          <t>SOLUTION</t>
        </is>
      </c>
      <c r="E20" s="14">
        <f>Work!B5</f>
        <v/>
      </c>
      <c r="F20" s="15">
        <f>Work!C5</f>
        <v/>
      </c>
      <c r="G20" s="16" t="inlineStr">
        <is>
          <t>Closed</t>
        </is>
      </c>
      <c r="H20" s="17">
        <f>IF(F20&gt;=1,"✔ Volledig",IF(F20&gt;0,"● In uitvoering","○ Niet gestart"))</f>
        <v/>
      </c>
    </row>
    <row r="21" ht="18" customHeight="1">
      <c r="B21" s="11" t="inlineStr">
        <is>
          <t>Team</t>
        </is>
      </c>
      <c r="C21" s="12" t="inlineStr">
        <is>
          <t>Kernel</t>
        </is>
      </c>
      <c r="D21" s="13" t="inlineStr">
        <is>
          <t>SOLUTION</t>
        </is>
      </c>
      <c r="E21" s="14">
        <f>Team!B5</f>
        <v/>
      </c>
      <c r="F21" s="15">
        <f>Team!C5</f>
        <v/>
      </c>
      <c r="G21" s="16" t="inlineStr">
        <is>
          <t>Performing</t>
        </is>
      </c>
      <c r="H21" s="17">
        <f>IF(F21&gt;=1,"✔ Volledig",IF(F21&gt;0,"● In uitvoering","○ Niet gestart"))</f>
        <v/>
      </c>
    </row>
    <row r="22" ht="18" customHeight="1">
      <c r="B22" s="11" t="inlineStr">
        <is>
          <t>Way of Working</t>
        </is>
      </c>
      <c r="C22" s="12" t="inlineStr">
        <is>
          <t>Kernel</t>
        </is>
      </c>
      <c r="D22" s="13" t="inlineStr">
        <is>
          <t>SOLUTION</t>
        </is>
      </c>
      <c r="E22" s="14">
        <f>'Way of Working'!B5</f>
        <v/>
      </c>
      <c r="F22" s="15">
        <f>'Way of Working'!C5</f>
        <v/>
      </c>
      <c r="G22" s="16" t="inlineStr">
        <is>
          <t>Working Well</t>
        </is>
      </c>
      <c r="H22" s="17">
        <f>IF(F22&gt;=1,"✔ Volledig",IF(F22&gt;0,"● In uitvoering","○ Niet gestart"))</f>
        <v/>
      </c>
    </row>
    <row r="23" ht="18" customHeight="1">
      <c r="B23" s="21" t="inlineStr">
        <is>
          <t>Governance</t>
        </is>
      </c>
      <c r="C23" s="22" t="inlineStr">
        <is>
          <t>MVG</t>
        </is>
      </c>
      <c r="D23" s="22" t="inlineStr">
        <is>
          <t>SPANS LEVELS</t>
        </is>
      </c>
      <c r="E23" s="14">
        <f>Governance!B5</f>
        <v/>
      </c>
      <c r="F23" s="15">
        <f>Governance!C5</f>
        <v/>
      </c>
      <c r="G23" s="16" t="inlineStr">
        <is>
          <t>Effective</t>
        </is>
      </c>
      <c r="H23" s="17">
        <f>IF(F23&gt;=1,"✔ Volledig",IF(F23&gt;0,"● In uitvoering","○ Niet gestart"))</f>
        <v/>
      </c>
    </row>
    <row r="25" ht="30" customHeight="1">
      <c r="B25" s="23" t="inlineStr">
        <is>
          <t>Tip: open een alpha-tabblad en vink de ✔-kolom (dropdown) aan per checklistpunt. Huidige toestand, voortgang en dit dashboard worden automatisch bijgewerkt.  •  Voorbeelddata weergegeven — wis de ✔-cellen voor een lege beoordeling.</t>
        </is>
      </c>
    </row>
    <row r="26" ht="18" customHeight="1">
      <c r="B26" s="24" t="inlineStr">
        <is>
          <t>Status:  ✔ Volledig   ● In uitvoering   ○ Niet gestart        Niveau:  Enterprise (geërfd)  ·  Solution (eigendom)  ·  Spans</t>
        </is>
      </c>
    </row>
    <row r="27" ht="16" customHeight="1">
      <c r="B27" s="25" t="inlineStr">
        <is>
          <t>→ Zie het tabblad 'Schaalniveaus' voor uitleg over de niveaus</t>
        </is>
      </c>
    </row>
  </sheetData>
  <mergeCells count="7">
    <mergeCell ref="B26:H26"/>
    <mergeCell ref="B9:H9"/>
    <mergeCell ref="B12:H12"/>
    <mergeCell ref="B2:H2"/>
    <mergeCell ref="B25:H25"/>
    <mergeCell ref="B3:H3"/>
    <mergeCell ref="B19:H19"/>
  </mergeCells>
  <conditionalFormatting sqref="F10:F23">
    <cfRule type="dataBar" priority="1">
      <dataBar>
        <cfvo type="num" val="0"/>
        <cfvo type="num" val="1"/>
        <color rgb="000F6E63"/>
      </dataBar>
    </cfRule>
  </conditionalFormatting>
  <hyperlinks>
    <hyperlink xmlns:r="http://schemas.openxmlformats.org/officeDocument/2006/relationships" ref="B10" r:id="rId1"/>
    <hyperlink xmlns:r="http://schemas.openxmlformats.org/officeDocument/2006/relationships" ref="B11" r:id="rId2"/>
    <hyperlink xmlns:r="http://schemas.openxmlformats.org/officeDocument/2006/relationships" ref="B13" r:id="rId3"/>
    <hyperlink xmlns:r="http://schemas.openxmlformats.org/officeDocument/2006/relationships" ref="B14" r:id="rId4"/>
    <hyperlink xmlns:r="http://schemas.openxmlformats.org/officeDocument/2006/relationships" ref="B15" r:id="rId5"/>
    <hyperlink xmlns:r="http://schemas.openxmlformats.org/officeDocument/2006/relationships" ref="B16" r:id="rId6"/>
    <hyperlink xmlns:r="http://schemas.openxmlformats.org/officeDocument/2006/relationships" ref="B17" r:id="rId7"/>
    <hyperlink xmlns:r="http://schemas.openxmlformats.org/officeDocument/2006/relationships" ref="B18" r:id="rId8"/>
    <hyperlink xmlns:r="http://schemas.openxmlformats.org/officeDocument/2006/relationships" ref="B20" r:id="rId9"/>
    <hyperlink xmlns:r="http://schemas.openxmlformats.org/officeDocument/2006/relationships" ref="B21" r:id="rId10"/>
    <hyperlink xmlns:r="http://schemas.openxmlformats.org/officeDocument/2006/relationships" ref="B22" r:id="rId11"/>
    <hyperlink xmlns:r="http://schemas.openxmlformats.org/officeDocument/2006/relationships" ref="B23" r:id="rId12"/>
    <hyperlink xmlns:r="http://schemas.openxmlformats.org/officeDocument/2006/relationships" ref="B27" r:id="rId1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7406B"/>
    <outlinePr summaryBelow="1" summaryRight="1"/>
    <pageSetUpPr/>
  </sheetPr>
  <dimension ref="B1:D9"/>
  <sheetViews>
    <sheetView workbookViewId="0">
      <selection activeCell="A1" sqref="A1"/>
    </sheetView>
  </sheetViews>
  <sheetFormatPr baseColWidth="8" defaultRowHeight="15"/>
  <cols>
    <col width="3" customWidth="1" min="1" max="1"/>
    <col width="52" customWidth="1" min="2" max="2"/>
    <col width="52" customWidth="1" min="3" max="3"/>
    <col width="52" customWidth="1" min="4" max="4"/>
  </cols>
  <sheetData>
    <row r="1" ht="28" customHeight="1">
      <c r="B1" s="26" t="inlineStr">
        <is>
          <t>Schaalniveaus — het System benoemen</t>
        </is>
      </c>
    </row>
    <row r="2" ht="36" customHeight="1">
      <c r="B2" s="27" t="inlineStr">
        <is>
          <t>Het System-alpha is het systeem van interesse — en het is fractaal. Kies het niveau voordat u beoordeelt.</t>
        </is>
      </c>
    </row>
    <row r="3" ht="54" customHeight="1">
      <c r="B3" s="28" t="inlineStr">
        <is>
          <t>Een enterprise is een systeem van systemen; een solution is een sub-systeem van de enterprise; een geconfigureerd product is een sub-systeem van de solution. Dezelfde kernel en practices worden op elk niveau toegepast — en wat op één niveau een System is, is op het niveau daarboven een sub-systeem. De grens die u trekt bepaalt wat elk alpha werkelijk meet.</t>
        </is>
      </c>
    </row>
    <row r="4" ht="72" customHeight="1">
      <c r="B4" s="29" t="inlineStr">
        <is>
          <t>ENTERPRISE — System = de enterprise
Enterprise-architectuur, de paved road, drivers en staande governance zijn hier eigendom.</t>
        </is>
      </c>
      <c r="C4" s="30" t="inlineStr">
        <is>
          <t>SOLUTION / PROJECT — System = de solution
Erft de enterprise paved road, drivers en governance als context; bezit de architectuur en beslissingen voor deze solution.</t>
        </is>
      </c>
      <c r="D4" s="31" t="inlineStr">
        <is>
          <t>COMPONENT — System = een geconfigureerd product
Een sub-systeem van de solution, apart bijgehouden wanneer dat gerechtvaardigd is.</t>
        </is>
      </c>
    </row>
    <row r="5" ht="18" customHeight="1">
      <c r="B5" s="32" t="inlineStr">
        <is>
          <t>Dezelfde kernel + practices lopen op elk niveau; een System op één niveau is een sub-systeem op het niveau daarboven.</t>
        </is>
      </c>
    </row>
    <row r="6" ht="22" customHeight="1">
      <c r="B6" s="33" t="inlineStr">
        <is>
          <t>WELKE PRACTICE WAAR LOOPT</t>
        </is>
      </c>
    </row>
    <row r="7" ht="18" customHeight="1">
      <c r="B7" s="34" t="inlineStr">
        <is>
          <t>ENTERPRISE  →</t>
        </is>
      </c>
      <c r="C7" s="35" t="inlineStr">
        <is>
          <t>TOGAF Business Scenarios-techniek (kwantificeer de drivers)  ·  enterprise MVA  ·  MVG (guardrails + paved road) — doorgegeven als context</t>
        </is>
      </c>
    </row>
    <row r="8" ht="18" customHeight="1">
      <c r="B8" s="34" t="inlineStr">
        <is>
          <t>SOLUTION  →</t>
        </is>
      </c>
      <c r="C8" s="35" t="inlineStr">
        <is>
          <t>MVA (architectureer binnen de guardrails) — stuurt bewijs en nieuwe drivers terug omhoog</t>
        </is>
      </c>
    </row>
    <row r="9" ht="40" customHeight="1">
      <c r="B9" s="23" t="inlineStr">
        <is>
          <t>Dit werkboek beoordeelt op SOLUTION-niveau. Alphas die hier eigendom zijn zijn getagd als Solution; de Paved Road is Enterprise (geërfd van de Enterprise); Governance overspant niveaus. De niveau-tag staat op elk alpha-tabblad (rechtsbovenin) en in het dashboard.</t>
        </is>
      </c>
    </row>
  </sheetData>
  <mergeCells count="4">
    <mergeCell ref="B9:D9"/>
    <mergeCell ref="B1:D1"/>
    <mergeCell ref="B2:D2"/>
    <mergeCell ref="B3:D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D52"/>
    <outlinePr summaryBelow="1" summaryRight="1"/>
    <pageSetUpPr/>
  </sheetPr>
  <dimension ref="B1:M29"/>
  <sheetViews>
    <sheetView workbookViewId="0">
      <selection activeCell="A1" sqref="A1"/>
    </sheetView>
  </sheetViews>
  <sheetFormatPr baseColWidth="8" defaultRowHeight="15"/>
  <cols>
    <col width="3" customWidth="1" min="1" max="1"/>
    <col width="27" customWidth="1" min="2" max="2"/>
    <col width="6" customWidth="1" min="3" max="3"/>
    <col width="95" customWidth="1" min="4" max="4"/>
    <col width="16" customWidth="1" min="5" max="5"/>
    <col hidden="1" width="13" customWidth="1" min="7" max="7"/>
    <col hidden="1" width="3" customWidth="1" min="8" max="8"/>
    <col hidden="1" width="3" customWidth="1" min="9" max="9"/>
    <col hidden="1" width="3" customWidth="1" min="10" max="10"/>
    <col hidden="1" width="3" customWidth="1" min="11" max="11"/>
    <col hidden="1" width="3" customWidth="1" min="13" max="13"/>
  </cols>
  <sheetData>
    <row r="1" ht="15" customHeight="1">
      <c r="B1" s="25" t="inlineStr">
        <is>
          <t>← Dashboard</t>
        </is>
      </c>
      <c r="M1">
        <f>SUM(H7:H12)</f>
        <v/>
      </c>
    </row>
    <row r="2" ht="39.75" customHeight="1">
      <c r="B2" s="36" t="inlineStr">
        <is>
          <t>Opportunity</t>
        </is>
      </c>
      <c r="E2" s="37" t="inlineStr">
        <is>
          <t>SOLUTION</t>
        </is>
      </c>
      <c r="M2">
        <f>SUM(I7:I12)</f>
        <v/>
      </c>
    </row>
    <row r="3" ht="31.5" customHeight="1">
      <c r="B3" s="38" t="inlineStr">
        <is>
          <t>De omstandigheden die een nieuw of gewijzigd systeem de moeite waard maken.</t>
        </is>
      </c>
      <c r="M3">
        <f>SUM(K7:K12)</f>
        <v/>
      </c>
    </row>
    <row r="4" ht="13.5" customHeight="1">
      <c r="B4" s="39" t="inlineStr">
        <is>
          <t>HUIDIGE TOESTAND</t>
        </is>
      </c>
      <c r="C4" s="39" t="inlineStr">
        <is>
          <t>VOORTGANG</t>
        </is>
      </c>
      <c r="D4" s="39" t="inlineStr">
        <is>
          <t>TOESTANDEN BEREIKT</t>
        </is>
      </c>
      <c r="E4" s="39" t="inlineStr">
        <is>
          <t>EIGENAAR · GEBIED</t>
        </is>
      </c>
      <c r="M4">
        <f>SUM(J7:J12)</f>
        <v/>
      </c>
    </row>
    <row r="5" ht="25.5" customHeight="1">
      <c r="B5" s="40">
        <f>IF(M3=0,"Niet gestart",INDEX(G7:G12,M3))</f>
        <v/>
      </c>
      <c r="C5" s="41">
        <f>IF(M2=0,0,M1/M2)</f>
        <v/>
      </c>
      <c r="D5" s="40">
        <f>M4&amp;" / "&amp;6</f>
        <v/>
      </c>
      <c r="E5" s="42" t="inlineStr">
        <is>
          <t>Kernel · CUST</t>
        </is>
      </c>
    </row>
    <row r="6" ht="19.5" customHeight="1">
      <c r="B6" s="9" t="inlineStr">
        <is>
          <t>TOESTAND</t>
        </is>
      </c>
      <c r="C6" s="43" t="inlineStr">
        <is>
          <t>✔</t>
        </is>
      </c>
      <c r="D6" s="9" t="inlineStr">
        <is>
          <t>CHECKLISTPUNT</t>
        </is>
      </c>
      <c r="E6" s="9" t="inlineStr">
        <is>
          <t>TOESTANDSSTATUS</t>
        </is>
      </c>
    </row>
    <row r="7" ht="21" customHeight="1">
      <c r="B7" s="44" t="inlineStr">
        <is>
          <t>1. Identified</t>
        </is>
      </c>
      <c r="C7" s="45" t="inlineStr">
        <is>
          <t>✔</t>
        </is>
      </c>
      <c r="D7" s="46" t="inlineStr">
        <is>
          <t>Een idee voor het verbeteren van de manier van werken, het vergroten van het marktaandeel of het toepassen van een nieuw systeem is geïdentificeerd.</t>
        </is>
      </c>
      <c r="E7" s="47">
        <f>COUNTIF(C7:C9,"✔")&amp;" / 3"</f>
        <v/>
      </c>
      <c r="G7" t="inlineStr">
        <is>
          <t>Identified</t>
        </is>
      </c>
      <c r="H7">
        <f>COUNTIF(C7:C9,"✔")</f>
        <v/>
      </c>
      <c r="I7" t="n">
        <v>3</v>
      </c>
      <c r="J7">
        <f>IF(H7=I7,1,0)</f>
        <v/>
      </c>
      <c r="K7">
        <f>J7</f>
        <v/>
      </c>
    </row>
    <row r="8" ht="21" customHeight="1">
      <c r="B8" s="48" t="n"/>
      <c r="C8" s="49" t="inlineStr">
        <is>
          <t>✔</t>
        </is>
      </c>
      <c r="D8" s="50" t="inlineStr">
        <is>
          <t>Minimaal één stakeholder wil investeren in het begrijpen van de opportunity en de waarde ervan.</t>
        </is>
      </c>
      <c r="G8" t="inlineStr">
        <is>
          <t>Solution Needed</t>
        </is>
      </c>
      <c r="H8">
        <f>COUNTIF(C10:C14,"✔")</f>
        <v/>
      </c>
      <c r="I8" t="n">
        <v>5</v>
      </c>
      <c r="J8">
        <f>IF(H8=I8,1,0)</f>
        <v/>
      </c>
      <c r="K8">
        <f>J8*K7</f>
        <v/>
      </c>
    </row>
    <row r="9" ht="21" customHeight="1">
      <c r="B9" s="48" t="n"/>
      <c r="C9" s="45" t="inlineStr">
        <is>
          <t>✔</t>
        </is>
      </c>
      <c r="D9" s="46" t="inlineStr">
        <is>
          <t>De overige stakeholders die de opportunity delen zijn geïdentificeerd.</t>
        </is>
      </c>
      <c r="G9" t="inlineStr">
        <is>
          <t>Value Established</t>
        </is>
      </c>
      <c r="H9">
        <f>COUNTIF(C15:C19,"✔")</f>
        <v/>
      </c>
      <c r="I9" t="n">
        <v>5</v>
      </c>
      <c r="J9">
        <f>IF(H9=I9,1,0)</f>
        <v/>
      </c>
      <c r="K9">
        <f>J9*K8</f>
        <v/>
      </c>
    </row>
    <row r="10" ht="21" customHeight="1">
      <c r="B10" s="44" t="inlineStr">
        <is>
          <t>2. Solution Needed</t>
        </is>
      </c>
      <c r="C10" s="49" t="inlineStr">
        <is>
          <t>✔</t>
        </is>
      </c>
      <c r="D10" s="50" t="inlineStr">
        <is>
          <t>De stakeholders bij de opportunity en de voorgestelde oplossing zijn geïdentificeerd.</t>
        </is>
      </c>
      <c r="E10" s="47">
        <f>COUNTIF(C10:C14,"✔")&amp;" / 5"</f>
        <v/>
      </c>
      <c r="G10" t="inlineStr">
        <is>
          <t>Viable</t>
        </is>
      </c>
      <c r="H10">
        <f>COUNTIF(C20:C24,"✔")</f>
        <v/>
      </c>
      <c r="I10" t="n">
        <v>5</v>
      </c>
      <c r="J10">
        <f>IF(H10=I10,1,0)</f>
        <v/>
      </c>
      <c r="K10">
        <f>J10*K9</f>
        <v/>
      </c>
    </row>
    <row r="11" ht="21" customHeight="1">
      <c r="B11" s="48" t="n"/>
      <c r="C11" s="45" t="inlineStr">
        <is>
          <t>✔</t>
        </is>
      </c>
      <c r="D11" s="46" t="inlineStr">
        <is>
          <t>De behoeften van stakeholders die de opportunity genereren zijn vastgesteld.</t>
        </is>
      </c>
      <c r="G11" t="inlineStr">
        <is>
          <t>Addressed</t>
        </is>
      </c>
      <c r="H11">
        <f>COUNTIF(C25:C27,"✔")</f>
        <v/>
      </c>
      <c r="I11" t="n">
        <v>3</v>
      </c>
      <c r="J11">
        <f>IF(H11=I11,1,0)</f>
        <v/>
      </c>
      <c r="K11">
        <f>J11*K10</f>
        <v/>
      </c>
    </row>
    <row r="12" ht="21" customHeight="1">
      <c r="B12" s="48" t="n"/>
      <c r="C12" s="49" t="inlineStr">
        <is>
          <t>✔</t>
        </is>
      </c>
      <c r="D12" s="50" t="inlineStr">
        <is>
          <t>Eventuele onderliggende problemen en hun oorzaken zijn geïdentificeerd.</t>
        </is>
      </c>
      <c r="G12" t="inlineStr">
        <is>
          <t>Benefit Accrued</t>
        </is>
      </c>
      <c r="H12">
        <f>COUNTIF(C28:C29,"✔")</f>
        <v/>
      </c>
      <c r="I12" t="n">
        <v>2</v>
      </c>
      <c r="J12">
        <f>IF(H12=I12,1,0)</f>
        <v/>
      </c>
      <c r="K12">
        <f>J12*K11</f>
        <v/>
      </c>
    </row>
    <row r="13" ht="21" customHeight="1">
      <c r="B13" s="48" t="n"/>
      <c r="C13" s="45" t="inlineStr">
        <is>
          <t>✔</t>
        </is>
      </c>
      <c r="D13" s="46" t="inlineStr">
        <is>
          <t>Bevestigd is dat een systeem-gebaseerde oplossing nodig is.</t>
        </is>
      </c>
    </row>
    <row r="14" ht="21" customHeight="1">
      <c r="B14" s="48" t="n"/>
      <c r="C14" s="49" t="inlineStr">
        <is>
          <t>✔</t>
        </is>
      </c>
      <c r="D14" s="50" t="inlineStr">
        <is>
          <t>Minimaal één oplossing is voorgesteld.</t>
        </is>
      </c>
    </row>
    <row r="15" ht="21" customHeight="1">
      <c r="B15" s="44" t="inlineStr">
        <is>
          <t>3. Value Established</t>
        </is>
      </c>
      <c r="C15" s="45" t="inlineStr">
        <is>
          <t>✔</t>
        </is>
      </c>
      <c r="D15" s="46" t="inlineStr">
        <is>
          <t>De waarde van het aanpakken van de opportunity is gekwantificeerd.</t>
        </is>
      </c>
      <c r="E15" s="47">
        <f>COUNTIF(C15:C19,"✔")&amp;" / 5"</f>
        <v/>
      </c>
    </row>
    <row r="16" ht="21" customHeight="1">
      <c r="B16" s="48" t="n"/>
      <c r="C16" s="49" t="inlineStr">
        <is>
          <t>✔</t>
        </is>
      </c>
      <c r="D16" s="50" t="inlineStr">
        <is>
          <t>De impact van de oplossing op de stakeholders is begrepen.</t>
        </is>
      </c>
    </row>
    <row r="17" ht="21" customHeight="1">
      <c r="B17" s="48" t="n"/>
      <c r="C17" s="45" t="inlineStr">
        <is>
          <t>✔</t>
        </is>
      </c>
      <c r="D17" s="46" t="inlineStr">
        <is>
          <t>De waarde die het systeem biedt aan degenen die het financieren en gebruiken is begrepen.</t>
        </is>
      </c>
    </row>
    <row r="18" ht="21" customHeight="1">
      <c r="B18" s="48" t="n"/>
      <c r="C18" s="49" t="inlineStr">
        <is>
          <t>✔</t>
        </is>
      </c>
      <c r="D18" s="50" t="inlineStr">
        <is>
          <t>De succescriteria voor de inzet zijn duidelijk.</t>
        </is>
      </c>
    </row>
    <row r="19" ht="21" customHeight="1">
      <c r="B19" s="48" t="n"/>
      <c r="C19" s="45" t="inlineStr">
        <is>
          <t>✔</t>
        </is>
      </c>
      <c r="D19" s="46" t="inlineStr">
        <is>
          <t>De gewenste uitkomsten zijn duidelijk en gekwantificeerd.</t>
        </is>
      </c>
    </row>
    <row r="20" ht="21" customHeight="1">
      <c r="B20" s="44" t="inlineStr">
        <is>
          <t>4. Viable</t>
        </is>
      </c>
      <c r="C20" s="49" t="inlineStr">
        <is>
          <t>✔</t>
        </is>
      </c>
      <c r="D20" s="50" t="inlineStr">
        <is>
          <t>Een oplossing is geschetst.</t>
        </is>
      </c>
      <c r="E20" s="47">
        <f>COUNTIF(C20:C24,"✔")&amp;" / 5"</f>
        <v/>
      </c>
    </row>
    <row r="21" ht="21" customHeight="1">
      <c r="B21" s="48" t="n"/>
      <c r="C21" s="45" t="inlineStr">
        <is>
          <t>✔</t>
        </is>
      </c>
      <c r="D21" s="46" t="inlineStr">
        <is>
          <t>De oplossing kan worden ontwikkeld en ingezet binnen de beperkingen.</t>
        </is>
      </c>
    </row>
    <row r="22" ht="21" customHeight="1">
      <c r="B22" s="48" t="n"/>
      <c r="C22" s="49" t="inlineStr"/>
      <c r="D22" s="50" t="inlineStr">
        <is>
          <t>De risico's van de oplossing zijn aanvaardbaar en beheersbaar.</t>
        </is>
      </c>
    </row>
    <row r="23" ht="21" customHeight="1">
      <c r="B23" s="48" t="n"/>
      <c r="C23" s="45" t="inlineStr"/>
      <c r="D23" s="46" t="inlineStr">
        <is>
          <t>De globale kosten zijn lager dan de verwachte waarde van de opportunity.</t>
        </is>
      </c>
    </row>
    <row r="24" ht="21" customHeight="1">
      <c r="B24" s="48" t="n"/>
      <c r="C24" s="49" t="inlineStr"/>
      <c r="D24" s="50" t="inlineStr">
        <is>
          <t>Het is duidelijk dat het nastreven van de opportunity haalbaar is.</t>
        </is>
      </c>
    </row>
    <row r="25" ht="21" customHeight="1">
      <c r="B25" s="44" t="inlineStr">
        <is>
          <t>5. Addressed</t>
        </is>
      </c>
      <c r="C25" s="45" t="inlineStr"/>
      <c r="D25" s="46" t="inlineStr">
        <is>
          <t>Een bruikbaar systeem dat aantoonbaar de opportunity aanpakt is beschikbaar.</t>
        </is>
      </c>
      <c r="E25" s="47">
        <f>COUNTIF(C25:C27,"✔")&amp;" / 3"</f>
        <v/>
      </c>
    </row>
    <row r="26" ht="21" customHeight="1">
      <c r="B26" s="48" t="n"/>
      <c r="C26" s="49" t="inlineStr"/>
      <c r="D26" s="50" t="inlineStr">
        <is>
          <t>Stakeholders zijn het erover eens dat de beschikbare oplossing het waard is om in te zetten.</t>
        </is>
      </c>
    </row>
    <row r="27" ht="21" customHeight="1">
      <c r="B27" s="48" t="n"/>
      <c r="C27" s="45" t="inlineStr"/>
      <c r="D27" s="46" t="inlineStr">
        <is>
          <t>Stakeholders zijn tevreden dat de oplossing de opportunity aanpakt.</t>
        </is>
      </c>
    </row>
    <row r="28" ht="21" customHeight="1">
      <c r="B28" s="44" t="inlineStr">
        <is>
          <t>6. Benefit Accrued</t>
        </is>
      </c>
      <c r="C28" s="49" t="inlineStr"/>
      <c r="D28" s="50" t="inlineStr">
        <is>
          <t>De oplossing heeft voordelen voor stakeholders beginnen op te leveren.</t>
        </is>
      </c>
      <c r="E28" s="47">
        <f>COUNTIF(C28:C29,"✔")&amp;" / 2"</f>
        <v/>
      </c>
    </row>
    <row r="29" ht="21" customHeight="1">
      <c r="B29" s="48" t="n"/>
      <c r="C29" s="45" t="inlineStr"/>
      <c r="D29" s="46" t="inlineStr">
        <is>
          <t>Het rendement op investering is minimaal zo goed als verwacht.</t>
        </is>
      </c>
    </row>
  </sheetData>
  <mergeCells count="14">
    <mergeCell ref="B10:B14"/>
    <mergeCell ref="E10:E14"/>
    <mergeCell ref="E7:E9"/>
    <mergeCell ref="E25:E27"/>
    <mergeCell ref="E15:E19"/>
    <mergeCell ref="E28:E29"/>
    <mergeCell ref="B20:B24"/>
    <mergeCell ref="B7:B9"/>
    <mergeCell ref="B3:E3"/>
    <mergeCell ref="E20:E24"/>
    <mergeCell ref="B25:B27"/>
    <mergeCell ref="B15:B19"/>
    <mergeCell ref="B28:B29"/>
    <mergeCell ref="B2:D2"/>
  </mergeCells>
  <conditionalFormatting sqref="E7:E9">
    <cfRule type="expression" priority="1" dxfId="0">
      <formula>COUNTIF($C$7:$C$9,"✔")=3</formula>
    </cfRule>
  </conditionalFormatting>
  <conditionalFormatting sqref="E10:E14">
    <cfRule type="expression" priority="2" dxfId="0">
      <formula>COUNTIF($C$10:$C$14,"✔")=5</formula>
    </cfRule>
  </conditionalFormatting>
  <conditionalFormatting sqref="E15:E19">
    <cfRule type="expression" priority="3" dxfId="0">
      <formula>COUNTIF($C$15:$C$19,"✔")=5</formula>
    </cfRule>
  </conditionalFormatting>
  <conditionalFormatting sqref="E20:E24">
    <cfRule type="expression" priority="4" dxfId="0">
      <formula>COUNTIF($C$20:$C$24,"✔")=5</formula>
    </cfRule>
  </conditionalFormatting>
  <conditionalFormatting sqref="E25:E27">
    <cfRule type="expression" priority="5" dxfId="0">
      <formula>COUNTIF($C$25:$C$27,"✔")=3</formula>
    </cfRule>
  </conditionalFormatting>
  <conditionalFormatting sqref="E28:E29">
    <cfRule type="expression" priority="6" dxfId="0">
      <formula>COUNTIF($C$28:$C$29,"✔")=2</formula>
    </cfRule>
  </conditionalFormatting>
  <dataValidations count="1">
    <dataValidation sqref="C7 C8 C9 C10 C11 C12 C13 C14 C15 C16 C17 C18 C19 C20 C21 C22 C23 C24 C25 C26 C27 C28 C29" showDropDown="0" showInputMessage="0" showErrorMessage="0" allowBlank="1" type="list">
      <formula1>"✔"</formula1>
    </dataValidation>
  </dataValidations>
  <hyperlinks>
    <hyperlink xmlns:r="http://schemas.openxmlformats.org/officeDocument/2006/relationships" ref="B1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7D52"/>
    <outlinePr summaryBelow="1" summaryRight="1"/>
    <pageSetUpPr/>
  </sheetPr>
  <dimension ref="B1:M25"/>
  <sheetViews>
    <sheetView workbookViewId="0">
      <selection activeCell="A1" sqref="A1"/>
    </sheetView>
  </sheetViews>
  <sheetFormatPr baseColWidth="8" defaultRowHeight="15"/>
  <cols>
    <col width="3" customWidth="1" min="1" max="1"/>
    <col width="27" customWidth="1" min="2" max="2"/>
    <col width="6" customWidth="1" min="3" max="3"/>
    <col width="95" customWidth="1" min="4" max="4"/>
    <col width="16" customWidth="1" min="5" max="5"/>
    <col hidden="1" width="13" customWidth="1" min="7" max="7"/>
    <col hidden="1" width="3" customWidth="1" min="8" max="8"/>
    <col hidden="1" width="3" customWidth="1" min="9" max="9"/>
    <col hidden="1" width="3" customWidth="1" min="10" max="10"/>
    <col hidden="1" width="3" customWidth="1" min="11" max="11"/>
    <col hidden="1" width="3" customWidth="1" min="13" max="13"/>
  </cols>
  <sheetData>
    <row r="1" ht="15" customHeight="1">
      <c r="B1" s="25" t="inlineStr">
        <is>
          <t>← Dashboard</t>
        </is>
      </c>
      <c r="M1">
        <f>SUM(H7:H12)</f>
        <v/>
      </c>
    </row>
    <row r="2" ht="39.75" customHeight="1">
      <c r="B2" s="36" t="inlineStr">
        <is>
          <t>Stakeholders</t>
        </is>
      </c>
      <c r="E2" s="37" t="inlineStr">
        <is>
          <t>SOLUTION</t>
        </is>
      </c>
      <c r="M2">
        <f>SUM(I7:I12)</f>
        <v/>
      </c>
    </row>
    <row r="3" ht="31.5" customHeight="1">
      <c r="B3" s="38" t="inlineStr">
        <is>
          <t>De mensen en organisaties die het systeem beïnvloeden of erdoor worden beïnvloed.</t>
        </is>
      </c>
      <c r="M3">
        <f>SUM(K7:K12)</f>
        <v/>
      </c>
    </row>
    <row r="4" ht="13.5" customHeight="1">
      <c r="B4" s="39" t="inlineStr">
        <is>
          <t>HUIDIGE TOESTAND</t>
        </is>
      </c>
      <c r="C4" s="39" t="inlineStr">
        <is>
          <t>VOORTGANG</t>
        </is>
      </c>
      <c r="D4" s="39" t="inlineStr">
        <is>
          <t>TOESTANDEN BEREIKT</t>
        </is>
      </c>
      <c r="E4" s="39" t="inlineStr">
        <is>
          <t>EIGENAAR · GEBIED</t>
        </is>
      </c>
      <c r="M4">
        <f>SUM(J7:J12)</f>
        <v/>
      </c>
    </row>
    <row r="5" ht="25.5" customHeight="1">
      <c r="B5" s="40">
        <f>IF(M3=0,"Niet gestart",INDEX(G7:G12,M3))</f>
        <v/>
      </c>
      <c r="C5" s="41">
        <f>IF(M2=0,0,M1/M2)</f>
        <v/>
      </c>
      <c r="D5" s="40">
        <f>M4&amp;" / "&amp;6</f>
        <v/>
      </c>
      <c r="E5" s="42" t="inlineStr">
        <is>
          <t>Kernel · CUST</t>
        </is>
      </c>
    </row>
    <row r="6" ht="19.5" customHeight="1">
      <c r="B6" s="9" t="inlineStr">
        <is>
          <t>TOESTAND</t>
        </is>
      </c>
      <c r="C6" s="43" t="inlineStr">
        <is>
          <t>✔</t>
        </is>
      </c>
      <c r="D6" s="9" t="inlineStr">
        <is>
          <t>CHECKLISTPUNT</t>
        </is>
      </c>
      <c r="E6" s="9" t="inlineStr">
        <is>
          <t>TOESTANDSSTATUS</t>
        </is>
      </c>
    </row>
    <row r="7" ht="21" customHeight="1">
      <c r="B7" s="44" t="inlineStr">
        <is>
          <t>1. Recognized</t>
        </is>
      </c>
      <c r="C7" s="45" t="inlineStr">
        <is>
          <t>✔</t>
        </is>
      </c>
      <c r="D7" s="46" t="inlineStr">
        <is>
          <t>De stakeholdergroepen zijn geïdentificeerd.</t>
        </is>
      </c>
      <c r="E7" s="47">
        <f>COUNTIF(C7:C9,"✔")&amp;" / 3"</f>
        <v/>
      </c>
      <c r="G7" t="inlineStr">
        <is>
          <t>Recognized</t>
        </is>
      </c>
      <c r="H7">
        <f>COUNTIF(C7:C9,"✔")</f>
        <v/>
      </c>
      <c r="I7" t="n">
        <v>3</v>
      </c>
      <c r="J7">
        <f>IF(H7=I7,1,0)</f>
        <v/>
      </c>
      <c r="K7">
        <f>J7</f>
        <v/>
      </c>
    </row>
    <row r="8" ht="21" customHeight="1">
      <c r="B8" s="48" t="n"/>
      <c r="C8" s="49" t="inlineStr">
        <is>
          <t>✔</t>
        </is>
      </c>
      <c r="D8" s="50" t="inlineStr">
        <is>
          <t>De sleutelstakeholdergroepen zijn vertegenwoordigd.</t>
        </is>
      </c>
      <c r="G8" t="inlineStr">
        <is>
          <t>Represented</t>
        </is>
      </c>
      <c r="H8">
        <f>COUNTIF(C10:C13,"✔")</f>
        <v/>
      </c>
      <c r="I8" t="n">
        <v>4</v>
      </c>
      <c r="J8">
        <f>IF(H8=I8,1,0)</f>
        <v/>
      </c>
      <c r="K8">
        <f>J8*K7</f>
        <v/>
      </c>
    </row>
    <row r="9" ht="21" customHeight="1">
      <c r="B9" s="48" t="n"/>
      <c r="C9" s="45" t="inlineStr">
        <is>
          <t>✔</t>
        </is>
      </c>
      <c r="D9" s="46" t="inlineStr">
        <is>
          <t>De verantwoordelijkheden van de stakeholdervertegenwoordigers zijn gedefinieerd.</t>
        </is>
      </c>
      <c r="G9" t="inlineStr">
        <is>
          <t>Involved</t>
        </is>
      </c>
      <c r="H9">
        <f>COUNTIF(C14:C16,"✔")</f>
        <v/>
      </c>
      <c r="I9" t="n">
        <v>3</v>
      </c>
      <c r="J9">
        <f>IF(H9=I9,1,0)</f>
        <v/>
      </c>
      <c r="K9">
        <f>J9*K8</f>
        <v/>
      </c>
    </row>
    <row r="10" ht="21" customHeight="1">
      <c r="B10" s="44" t="inlineStr">
        <is>
          <t>2. Represented</t>
        </is>
      </c>
      <c r="C10" s="49" t="inlineStr">
        <is>
          <t>✔</t>
        </is>
      </c>
      <c r="D10" s="50" t="inlineStr">
        <is>
          <t>De vertegenwoordigers hebben hun verantwoordelijkheden overeengekomen.</t>
        </is>
      </c>
      <c r="E10" s="47">
        <f>COUNTIF(C10:C13,"✔")&amp;" / 4"</f>
        <v/>
      </c>
      <c r="G10" t="inlineStr">
        <is>
          <t>In Agreement</t>
        </is>
      </c>
      <c r="H10">
        <f>COUNTIF(C17:C21,"✔")</f>
        <v/>
      </c>
      <c r="I10" t="n">
        <v>5</v>
      </c>
      <c r="J10">
        <f>IF(H10=I10,1,0)</f>
        <v/>
      </c>
      <c r="K10">
        <f>J10*K9</f>
        <v/>
      </c>
    </row>
    <row r="11" ht="21" customHeight="1">
      <c r="B11" s="48" t="n"/>
      <c r="C11" s="45" t="inlineStr">
        <is>
          <t>✔</t>
        </is>
      </c>
      <c r="D11" s="46" t="inlineStr">
        <is>
          <t>De vertegenwoordigers zijn gemachtigd hun verantwoordelijkheden uit te voeren.</t>
        </is>
      </c>
      <c r="G11" t="inlineStr">
        <is>
          <t>Satisfied for Deployment</t>
        </is>
      </c>
      <c r="H11">
        <f>COUNTIF(C22:C23,"✔")</f>
        <v/>
      </c>
      <c r="I11" t="n">
        <v>2</v>
      </c>
      <c r="J11">
        <f>IF(H11=I11,1,0)</f>
        <v/>
      </c>
      <c r="K11">
        <f>J11*K10</f>
        <v/>
      </c>
    </row>
    <row r="12" ht="21" customHeight="1">
      <c r="B12" s="48" t="n"/>
      <c r="C12" s="49" t="inlineStr">
        <is>
          <t>✔</t>
        </is>
      </c>
      <c r="D12" s="50" t="inlineStr">
        <is>
          <t>De samenwerkingsaanpak onder vertegenwoordigers is overeengekomen.</t>
        </is>
      </c>
      <c r="G12" t="inlineStr">
        <is>
          <t>Satisfied in Use</t>
        </is>
      </c>
      <c r="H12">
        <f>COUNTIF(C24:C25,"✔")</f>
        <v/>
      </c>
      <c r="I12" t="n">
        <v>2</v>
      </c>
      <c r="J12">
        <f>IF(H12=I12,1,0)</f>
        <v/>
      </c>
      <c r="K12">
        <f>J12*K11</f>
        <v/>
      </c>
    </row>
    <row r="13" ht="21" customHeight="1">
      <c r="B13" s="48" t="n"/>
      <c r="C13" s="45" t="inlineStr">
        <is>
          <t>✔</t>
        </is>
      </c>
      <c r="D13" s="46" t="inlineStr">
        <is>
          <t>De manier van werken van het team wordt ondersteund en gerespecteerd door de stakeholders.</t>
        </is>
      </c>
    </row>
    <row r="14" ht="21" customHeight="1">
      <c r="B14" s="44" t="inlineStr">
        <is>
          <t>3. Involved</t>
        </is>
      </c>
      <c r="C14" s="49" t="inlineStr">
        <is>
          <t>✔</t>
        </is>
      </c>
      <c r="D14" s="50" t="inlineStr">
        <is>
          <t>De vertegenwoordigers ondersteunen het team conform hun verantwoordelijkheden.</t>
        </is>
      </c>
      <c r="E14" s="47">
        <f>COUNTIF(C14:C16,"✔")&amp;" / 3"</f>
        <v/>
      </c>
    </row>
    <row r="15" ht="21" customHeight="1">
      <c r="B15" s="48" t="n"/>
      <c r="C15" s="45" t="inlineStr">
        <is>
          <t>✔</t>
        </is>
      </c>
      <c r="D15" s="46" t="inlineStr">
        <is>
          <t>De vertegenwoordigers geven feedback en nemen tijdig beslissingen.</t>
        </is>
      </c>
    </row>
    <row r="16" ht="21" customHeight="1">
      <c r="B16" s="48" t="n"/>
      <c r="C16" s="49" t="inlineStr">
        <is>
          <t>✔</t>
        </is>
      </c>
      <c r="D16" s="50" t="inlineStr">
        <is>
          <t>Wijzigingen worden tijdig gecommuniceerd aan het team en stakeholders.</t>
        </is>
      </c>
    </row>
    <row r="17" ht="21" customHeight="1">
      <c r="B17" s="44" t="inlineStr">
        <is>
          <t>4. In Agreement</t>
        </is>
      </c>
      <c r="C17" s="45" t="inlineStr">
        <is>
          <t>✔</t>
        </is>
      </c>
      <c r="D17" s="46" t="inlineStr">
        <is>
          <t>De minimale verwachtingen van de stakeholdergroepen zijn overeengekomen.</t>
        </is>
      </c>
      <c r="E17" s="47">
        <f>COUNTIF(C17:C21,"✔")&amp;" / 5"</f>
        <v/>
      </c>
    </row>
    <row r="18" ht="21" customHeight="1">
      <c r="B18" s="48" t="n"/>
      <c r="C18" s="49" t="inlineStr">
        <is>
          <t>✔</t>
        </is>
      </c>
      <c r="D18" s="50" t="inlineStr">
        <is>
          <t>De vertegenwoordigers zijn tevreden met hun betrokkenheid.</t>
        </is>
      </c>
    </row>
    <row r="19" ht="21" customHeight="1">
      <c r="B19" s="48" t="n"/>
      <c r="C19" s="45" t="inlineStr">
        <is>
          <t>✔</t>
        </is>
      </c>
      <c r="D19" s="46" t="inlineStr">
        <is>
          <t>De bijdrage van de vertegenwoordigers wordt gewaardeerd door het team.</t>
        </is>
      </c>
    </row>
    <row r="20" ht="21" customHeight="1">
      <c r="B20" s="48" t="n"/>
      <c r="C20" s="49" t="inlineStr"/>
      <c r="D20" s="50" t="inlineStr">
        <is>
          <t>De bijdrage van het team wordt gewaardeerd door de vertegenwoordigers.</t>
        </is>
      </c>
    </row>
    <row r="21" ht="21" customHeight="1">
      <c r="B21" s="48" t="n"/>
      <c r="C21" s="45" t="inlineStr"/>
      <c r="D21" s="46" t="inlineStr">
        <is>
          <t>Prioriteiten zijn duidelijk en perspectieven zijn gebalanceerd.</t>
        </is>
      </c>
    </row>
    <row r="22" ht="21" customHeight="1">
      <c r="B22" s="44" t="inlineStr">
        <is>
          <t>5. Satisfied for Deployment</t>
        </is>
      </c>
      <c r="C22" s="49" t="inlineStr"/>
      <c r="D22" s="50" t="inlineStr">
        <is>
          <t>De vertegenwoordigers geven feedback op het systeem vanuit het perspectief van hun groep.</t>
        </is>
      </c>
      <c r="E22" s="47">
        <f>COUNTIF(C22:C23,"✔")&amp;" / 2"</f>
        <v/>
      </c>
    </row>
    <row r="23" ht="21" customHeight="1">
      <c r="B23" s="48" t="n"/>
      <c r="C23" s="45" t="inlineStr"/>
      <c r="D23" s="46" t="inlineStr">
        <is>
          <t>De vertegenwoordigers bevestigen dat het systeem klaar is voor inzet.</t>
        </is>
      </c>
    </row>
    <row r="24" ht="21" customHeight="1">
      <c r="B24" s="44" t="inlineStr">
        <is>
          <t>6. Satisfied in Use</t>
        </is>
      </c>
      <c r="C24" s="49" t="inlineStr"/>
      <c r="D24" s="50" t="inlineStr">
        <is>
          <t>De stakeholders gebruiken het systeem en geven feedback.</t>
        </is>
      </c>
      <c r="E24" s="47">
        <f>COUNTIF(C24:C25,"✔")&amp;" / 2"</f>
        <v/>
      </c>
    </row>
    <row r="25" ht="21" customHeight="1">
      <c r="B25" s="48" t="n"/>
      <c r="C25" s="45" t="inlineStr"/>
      <c r="D25" s="46" t="inlineStr">
        <is>
          <t>De stakeholders bevestigen dat het systeem aan hun verwachtingen voldoet.</t>
        </is>
      </c>
    </row>
  </sheetData>
  <mergeCells count="14">
    <mergeCell ref="E17:E21"/>
    <mergeCell ref="E7:E9"/>
    <mergeCell ref="B17:B21"/>
    <mergeCell ref="B22:B23"/>
    <mergeCell ref="E22:E23"/>
    <mergeCell ref="B2:D2"/>
    <mergeCell ref="B14:B16"/>
    <mergeCell ref="E14:E16"/>
    <mergeCell ref="B7:B9"/>
    <mergeCell ref="B3:E3"/>
    <mergeCell ref="E24:E25"/>
    <mergeCell ref="B24:B25"/>
    <mergeCell ref="B10:B13"/>
    <mergeCell ref="E10:E13"/>
  </mergeCells>
  <conditionalFormatting sqref="E7:E9">
    <cfRule type="expression" priority="1" dxfId="0">
      <formula>COUNTIF($C$7:$C$9,"✔")=3</formula>
    </cfRule>
  </conditionalFormatting>
  <conditionalFormatting sqref="E10:E13">
    <cfRule type="expression" priority="2" dxfId="0">
      <formula>COUNTIF($C$10:$C$13,"✔")=4</formula>
    </cfRule>
  </conditionalFormatting>
  <conditionalFormatting sqref="E14:E16">
    <cfRule type="expression" priority="3" dxfId="0">
      <formula>COUNTIF($C$14:$C$16,"✔")=3</formula>
    </cfRule>
  </conditionalFormatting>
  <conditionalFormatting sqref="E17:E21">
    <cfRule type="expression" priority="4" dxfId="0">
      <formula>COUNTIF($C$17:$C$21,"✔")=5</formula>
    </cfRule>
  </conditionalFormatting>
  <conditionalFormatting sqref="E22:E23">
    <cfRule type="expression" priority="5" dxfId="0">
      <formula>COUNTIF($C$22:$C$23,"✔")=2</formula>
    </cfRule>
  </conditionalFormatting>
  <conditionalFormatting sqref="E24:E25">
    <cfRule type="expression" priority="6" dxfId="0">
      <formula>COUNTIF($C$24:$C$25,"✔")=2</formula>
    </cfRule>
  </conditionalFormatting>
  <dataValidations count="1">
    <dataValidation sqref="C7 C8 C9 C10 C11 C12 C13 C14 C15 C16 C17 C18 C19 C20 C21 C22 C23 C24 C25" showDropDown="0" showInputMessage="0" showErrorMessage="0" allowBlank="1" type="list">
      <formula1>"✔"</formula1>
    </dataValidation>
  </dataValidations>
  <hyperlinks>
    <hyperlink xmlns:r="http://schemas.openxmlformats.org/officeDocument/2006/relationships" ref="B1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07D12"/>
    <outlinePr summaryBelow="1" summaryRight="1"/>
    <pageSetUpPr/>
  </sheetPr>
  <dimension ref="B1:M36"/>
  <sheetViews>
    <sheetView workbookViewId="0">
      <selection activeCell="A1" sqref="A1"/>
    </sheetView>
  </sheetViews>
  <sheetFormatPr baseColWidth="8" defaultRowHeight="15"/>
  <cols>
    <col width="3" customWidth="1" min="1" max="1"/>
    <col width="27" customWidth="1" min="2" max="2"/>
    <col width="6" customWidth="1" min="3" max="3"/>
    <col width="95" customWidth="1" min="4" max="4"/>
    <col width="16" customWidth="1" min="5" max="5"/>
    <col hidden="1" width="13" customWidth="1" min="7" max="7"/>
    <col hidden="1" width="3" customWidth="1" min="8" max="8"/>
    <col hidden="1" width="3" customWidth="1" min="9" max="9"/>
    <col hidden="1" width="3" customWidth="1" min="10" max="10"/>
    <col hidden="1" width="3" customWidth="1" min="11" max="11"/>
    <col hidden="1" width="3" customWidth="1" min="13" max="13"/>
  </cols>
  <sheetData>
    <row r="1" ht="15" customHeight="1">
      <c r="B1" s="25" t="inlineStr">
        <is>
          <t>← Dashboard</t>
        </is>
      </c>
      <c r="M1">
        <f>SUM(H7:H12)</f>
        <v/>
      </c>
    </row>
    <row r="2" ht="39.75" customHeight="1">
      <c r="B2" s="36" t="inlineStr">
        <is>
          <t>Requirements</t>
        </is>
      </c>
      <c r="E2" s="37" t="inlineStr">
        <is>
          <t>SOLUTION</t>
        </is>
      </c>
      <c r="M2">
        <f>SUM(I7:I12)</f>
        <v/>
      </c>
    </row>
    <row r="3" ht="31.5" customHeight="1">
      <c r="B3" s="38" t="inlineStr">
        <is>
          <t>Wat het systeem moet doen om de opportunity aan te pakken en de stakeholders tevreden te stellen.</t>
        </is>
      </c>
      <c r="M3">
        <f>SUM(K7:K12)</f>
        <v/>
      </c>
    </row>
    <row r="4" ht="13.5" customHeight="1">
      <c r="B4" s="39" t="inlineStr">
        <is>
          <t>HUIDIGE TOESTAND</t>
        </is>
      </c>
      <c r="C4" s="39" t="inlineStr">
        <is>
          <t>VOORTGANG</t>
        </is>
      </c>
      <c r="D4" s="39" t="inlineStr">
        <is>
          <t>TOESTANDEN BEREIKT</t>
        </is>
      </c>
      <c r="E4" s="39" t="inlineStr">
        <is>
          <t>EIGENAAR · GEBIED</t>
        </is>
      </c>
      <c r="M4">
        <f>SUM(J7:J12)</f>
        <v/>
      </c>
    </row>
    <row r="5" ht="25.5" customHeight="1">
      <c r="B5" s="40">
        <f>IF(M3=0,"Niet gestart",INDEX(G7:G12,M3))</f>
        <v/>
      </c>
      <c r="C5" s="41">
        <f>IF(M2=0,0,M1/M2)</f>
        <v/>
      </c>
      <c r="D5" s="40">
        <f>M4&amp;" / "&amp;6</f>
        <v/>
      </c>
      <c r="E5" s="42" t="inlineStr">
        <is>
          <t>Kernel · SOL</t>
        </is>
      </c>
    </row>
    <row r="6" ht="19.5" customHeight="1">
      <c r="B6" s="9" t="inlineStr">
        <is>
          <t>TOESTAND</t>
        </is>
      </c>
      <c r="C6" s="43" t="inlineStr">
        <is>
          <t>✔</t>
        </is>
      </c>
      <c r="D6" s="9" t="inlineStr">
        <is>
          <t>CHECKLISTPUNT</t>
        </is>
      </c>
      <c r="E6" s="9" t="inlineStr">
        <is>
          <t>TOESTANDSSTATUS</t>
        </is>
      </c>
    </row>
    <row r="7" ht="21" customHeight="1">
      <c r="B7" s="44" t="inlineStr">
        <is>
          <t>1. Conceived</t>
        </is>
      </c>
      <c r="C7" s="45" t="inlineStr">
        <is>
          <t>✔</t>
        </is>
      </c>
      <c r="D7" s="46" t="inlineStr">
        <is>
          <t>De initiële stakeholders zijn het erover eens dat een systeem geproduceerd moet worden.</t>
        </is>
      </c>
      <c r="E7" s="47">
        <f>COUNTIF(C7:C10,"✔")&amp;" / 4"</f>
        <v/>
      </c>
      <c r="G7" t="inlineStr">
        <is>
          <t>Conceived</t>
        </is>
      </c>
      <c r="H7">
        <f>COUNTIF(C7:C10,"✔")</f>
        <v/>
      </c>
      <c r="I7" t="n">
        <v>4</v>
      </c>
      <c r="J7">
        <f>IF(H7=I7,1,0)</f>
        <v/>
      </c>
      <c r="K7">
        <f>J7</f>
        <v/>
      </c>
    </row>
    <row r="8" ht="21" customHeight="1">
      <c r="B8" s="48" t="n"/>
      <c r="C8" s="49" t="inlineStr">
        <is>
          <t>✔</t>
        </is>
      </c>
      <c r="D8" s="50" t="inlineStr">
        <is>
          <t>De stakeholders die het systeem zullen gebruiken zijn geïdentificeerd.</t>
        </is>
      </c>
      <c r="G8" t="inlineStr">
        <is>
          <t>Bounded</t>
        </is>
      </c>
      <c r="H8">
        <f>COUNTIF(C11:C19,"✔")</f>
        <v/>
      </c>
      <c r="I8" t="n">
        <v>9</v>
      </c>
      <c r="J8">
        <f>IF(H8=I8,1,0)</f>
        <v/>
      </c>
      <c r="K8">
        <f>J8*K7</f>
        <v/>
      </c>
    </row>
    <row r="9" ht="21" customHeight="1">
      <c r="B9" s="48" t="n"/>
      <c r="C9" s="45" t="inlineStr">
        <is>
          <t>✔</t>
        </is>
      </c>
      <c r="D9" s="46" t="inlineStr">
        <is>
          <t>De stakeholders die het initiële werk zullen financieren zijn geïdentificeerd.</t>
        </is>
      </c>
      <c r="G9" t="inlineStr">
        <is>
          <t>Coherent</t>
        </is>
      </c>
      <c r="H9">
        <f>COUNTIF(C20:C26,"✔")</f>
        <v/>
      </c>
      <c r="I9" t="n">
        <v>7</v>
      </c>
      <c r="J9">
        <f>IF(H9=I9,1,0)</f>
        <v/>
      </c>
      <c r="K9">
        <f>J9*K8</f>
        <v/>
      </c>
    </row>
    <row r="10" ht="21" customHeight="1">
      <c r="B10" s="48" t="n"/>
      <c r="C10" s="49" t="inlineStr">
        <is>
          <t>✔</t>
        </is>
      </c>
      <c r="D10" s="50" t="inlineStr">
        <is>
          <t>Er is een duidelijke opportunity voor het systeem om aan te pakken.</t>
        </is>
      </c>
      <c r="G10" t="inlineStr">
        <is>
          <t>Acceptable</t>
        </is>
      </c>
      <c r="H10">
        <f>COUNTIF(C27:C30,"✔")</f>
        <v/>
      </c>
      <c r="I10" t="n">
        <v>4</v>
      </c>
      <c r="J10">
        <f>IF(H10=I10,1,0)</f>
        <v/>
      </c>
      <c r="K10">
        <f>J10*K9</f>
        <v/>
      </c>
    </row>
    <row r="11" ht="21" customHeight="1">
      <c r="B11" s="44" t="inlineStr">
        <is>
          <t>2. Bounded</t>
        </is>
      </c>
      <c r="C11" s="45" t="inlineStr">
        <is>
          <t>✔</t>
        </is>
      </c>
      <c r="D11" s="46" t="inlineStr">
        <is>
          <t>De stakeholders betrokken bij de ontwikkeling van het systeem zijn geïdentificeerd.</t>
        </is>
      </c>
      <c r="E11" s="47">
        <f>COUNTIF(C11:C19,"✔")&amp;" / 9"</f>
        <v/>
      </c>
      <c r="G11" t="inlineStr">
        <is>
          <t>Addressed</t>
        </is>
      </c>
      <c r="H11">
        <f>COUNTIF(C31:C33,"✔")</f>
        <v/>
      </c>
      <c r="I11" t="n">
        <v>3</v>
      </c>
      <c r="J11">
        <f>IF(H11=I11,1,0)</f>
        <v/>
      </c>
      <c r="K11">
        <f>J11*K10</f>
        <v/>
      </c>
    </row>
    <row r="12" ht="21" customHeight="1">
      <c r="B12" s="48" t="n"/>
      <c r="C12" s="49" t="inlineStr">
        <is>
          <t>✔</t>
        </is>
      </c>
      <c r="D12" s="50" t="inlineStr">
        <is>
          <t>De stakeholders zijn het eens over het doel van het systeem.</t>
        </is>
      </c>
      <c r="G12" t="inlineStr">
        <is>
          <t>Fulfilled</t>
        </is>
      </c>
      <c r="H12">
        <f>COUNTIF(C34:C36,"✔")</f>
        <v/>
      </c>
      <c r="I12" t="n">
        <v>3</v>
      </c>
      <c r="J12">
        <f>IF(H12=I12,1,0)</f>
        <v/>
      </c>
      <c r="K12">
        <f>J12*K11</f>
        <v/>
      </c>
    </row>
    <row r="13" ht="21" customHeight="1">
      <c r="B13" s="48" t="n"/>
      <c r="C13" s="45" t="inlineStr">
        <is>
          <t>✔</t>
        </is>
      </c>
      <c r="D13" s="46" t="inlineStr">
        <is>
          <t>Het is duidelijk wat succes is voor het systeem.</t>
        </is>
      </c>
    </row>
    <row r="14" ht="21" customHeight="1">
      <c r="B14" s="48" t="n"/>
      <c r="C14" s="49" t="inlineStr">
        <is>
          <t>✔</t>
        </is>
      </c>
      <c r="D14" s="50" t="inlineStr">
        <is>
          <t>Er is een gedeeld begrip van de omvang van de oplossing.</t>
        </is>
      </c>
    </row>
    <row r="15" ht="21" customHeight="1">
      <c r="B15" s="48" t="n"/>
      <c r="C15" s="45" t="inlineStr">
        <is>
          <t>✔</t>
        </is>
      </c>
      <c r="D15" s="46" t="inlineStr">
        <is>
          <t>De manier waarop requirements beschreven worden is overeengekomen.</t>
        </is>
      </c>
    </row>
    <row r="16" ht="21" customHeight="1">
      <c r="B16" s="48" t="n"/>
      <c r="C16" s="49" t="inlineStr">
        <is>
          <t>✔</t>
        </is>
      </c>
      <c r="D16" s="50" t="inlineStr">
        <is>
          <t>De mechanismen voor het beheer van requirements zijn aanwezig.</t>
        </is>
      </c>
    </row>
    <row r="17" ht="21" customHeight="1">
      <c r="B17" s="48" t="n"/>
      <c r="C17" s="45" t="inlineStr">
        <is>
          <t>✔</t>
        </is>
      </c>
      <c r="D17" s="46" t="inlineStr">
        <is>
          <t>Het prioriteringsschema is duidelijk.</t>
        </is>
      </c>
    </row>
    <row r="18" ht="21" customHeight="1">
      <c r="B18" s="48" t="n"/>
      <c r="C18" s="49" t="inlineStr">
        <is>
          <t>✔</t>
        </is>
      </c>
      <c r="D18" s="50" t="inlineStr">
        <is>
          <t>Beperkingen zijn geïdentificeerd en meegewogen.</t>
        </is>
      </c>
    </row>
    <row r="19" ht="21" customHeight="1">
      <c r="B19" s="48" t="n"/>
      <c r="C19" s="45" t="inlineStr">
        <is>
          <t>✔</t>
        </is>
      </c>
      <c r="D19" s="46" t="inlineStr">
        <is>
          <t>Aannames zijn duidelijk geformuleerd.</t>
        </is>
      </c>
    </row>
    <row r="20" ht="21" customHeight="1">
      <c r="B20" s="44" t="inlineStr">
        <is>
          <t>3. Coherent</t>
        </is>
      </c>
      <c r="C20" s="49" t="inlineStr">
        <is>
          <t>✔</t>
        </is>
      </c>
      <c r="D20" s="50" t="inlineStr">
        <is>
          <t>De requirements zijn vastgelegd en gedeeld met het team en stakeholders.</t>
        </is>
      </c>
      <c r="E20" s="47">
        <f>COUNTIF(C20:C26,"✔")&amp;" / 7"</f>
        <v/>
      </c>
    </row>
    <row r="21" ht="21" customHeight="1">
      <c r="B21" s="48" t="n"/>
      <c r="C21" s="45" t="inlineStr">
        <is>
          <t>✔</t>
        </is>
      </c>
      <c r="D21" s="46" t="inlineStr">
        <is>
          <t>De herkomst en onderbouwing van de requirements zijn duidelijk.</t>
        </is>
      </c>
    </row>
    <row r="22" ht="21" customHeight="1">
      <c r="B22" s="48" t="n"/>
      <c r="C22" s="49" t="inlineStr">
        <is>
          <t>✔</t>
        </is>
      </c>
      <c r="D22" s="50" t="inlineStr">
        <is>
          <t>Conflicterende requirements zijn geïdentificeerd en aangepakt.</t>
        </is>
      </c>
    </row>
    <row r="23" ht="21" customHeight="1">
      <c r="B23" s="48" t="n"/>
      <c r="C23" s="45" t="inlineStr">
        <is>
          <t>✔</t>
        </is>
      </c>
      <c r="D23" s="46" t="inlineStr">
        <is>
          <t>De requirements beschrijven de essentiële kenmerken van het systeem.</t>
        </is>
      </c>
    </row>
    <row r="24" ht="21" customHeight="1">
      <c r="B24" s="48" t="n"/>
      <c r="C24" s="49" t="inlineStr"/>
      <c r="D24" s="50" t="inlineStr">
        <is>
          <t>De belangrijkste gebruiksscenario's kunnen worden uitgelegd.</t>
        </is>
      </c>
    </row>
    <row r="25" ht="21" customHeight="1">
      <c r="B25" s="48" t="n"/>
      <c r="C25" s="45" t="inlineStr"/>
      <c r="D25" s="46" t="inlineStr">
        <is>
          <t>De prioriteit van de requirements is duidelijk.</t>
        </is>
      </c>
    </row>
    <row r="26" ht="21" customHeight="1">
      <c r="B26" s="48" t="n"/>
      <c r="C26" s="49" t="inlineStr"/>
      <c r="D26" s="50" t="inlineStr">
        <is>
          <t>Het team begrijpt wat opgeleverd moet worden en is het erover eens dit te doen.</t>
        </is>
      </c>
    </row>
    <row r="27" ht="21" customHeight="1">
      <c r="B27" s="44" t="inlineStr">
        <is>
          <t>4. Acceptable</t>
        </is>
      </c>
      <c r="C27" s="45" t="inlineStr"/>
      <c r="D27" s="46" t="inlineStr">
        <is>
          <t>Stakeholders accepteren dat de requirements een aanvaardbare oplossing beschrijven.</t>
        </is>
      </c>
      <c r="E27" s="47">
        <f>COUNTIF(C27:C30,"✔")&amp;" / 4"</f>
        <v/>
      </c>
    </row>
    <row r="28" ht="21" customHeight="1">
      <c r="B28" s="48" t="n"/>
      <c r="C28" s="49" t="inlineStr"/>
      <c r="D28" s="50" t="inlineStr">
        <is>
          <t>Het wijzigingstempo van overeengekomen requirements is laag en onder controle.</t>
        </is>
      </c>
    </row>
    <row r="29" ht="21" customHeight="1">
      <c r="B29" s="48" t="n"/>
      <c r="C29" s="45" t="inlineStr"/>
      <c r="D29" s="46" t="inlineStr">
        <is>
          <t>De waarde van het implementeren van de requirements is duidelijk.</t>
        </is>
      </c>
    </row>
    <row r="30" ht="21" customHeight="1">
      <c r="B30" s="48" t="n"/>
      <c r="C30" s="49" t="inlineStr"/>
      <c r="D30" s="50" t="inlineStr">
        <is>
          <t>De requirements zijn testbaar.</t>
        </is>
      </c>
    </row>
    <row r="31" ht="21" customHeight="1">
      <c r="B31" s="44" t="inlineStr">
        <is>
          <t>5. Addressed</t>
        </is>
      </c>
      <c r="C31" s="45" t="inlineStr"/>
      <c r="D31" s="46" t="inlineStr">
        <is>
          <t>Genoeg requirements zijn afgehandeld voor het systeem om aanvaardbaar te zijn.</t>
        </is>
      </c>
      <c r="E31" s="47">
        <f>COUNTIF(C31:C33,"✔")&amp;" / 3"</f>
        <v/>
      </c>
    </row>
    <row r="32" ht="21" customHeight="1">
      <c r="B32" s="48" t="n"/>
      <c r="C32" s="49" t="inlineStr"/>
      <c r="D32" s="50" t="inlineStr">
        <is>
          <t>De geïmplementeerde requirements leveren duidelijke waarde.</t>
        </is>
      </c>
    </row>
    <row r="33" ht="21" customHeight="1">
      <c r="B33" s="48" t="n"/>
      <c r="C33" s="45" t="inlineStr"/>
      <c r="D33" s="46" t="inlineStr">
        <is>
          <t>Het systeem wordt door stakeholders geaccepteerd als het waard om operationeel te maken.</t>
        </is>
      </c>
    </row>
    <row r="34" ht="21" customHeight="1">
      <c r="B34" s="44" t="inlineStr">
        <is>
          <t>6. Fulfilled</t>
        </is>
      </c>
      <c r="C34" s="49" t="inlineStr"/>
      <c r="D34" s="50" t="inlineStr">
        <is>
          <t>Stakeholders accepteren dat de requirements vastleggen wat zij nodig hebben.</t>
        </is>
      </c>
      <c r="E34" s="47">
        <f>COUNTIF(C34:C36,"✔")&amp;" / 3"</f>
        <v/>
      </c>
    </row>
    <row r="35" ht="21" customHeight="1">
      <c r="B35" s="48" t="n"/>
      <c r="C35" s="45" t="inlineStr"/>
      <c r="D35" s="46" t="inlineStr">
        <is>
          <t>Geen openstaande requirements verhinderen acceptatie.</t>
        </is>
      </c>
    </row>
    <row r="36" ht="21" customHeight="1">
      <c r="B36" s="48" t="n"/>
      <c r="C36" s="49" t="inlineStr"/>
      <c r="D36" s="50" t="inlineStr">
        <is>
          <t>Het systeem voldoet volledig aan de requirements.</t>
        </is>
      </c>
    </row>
  </sheetData>
  <mergeCells count="14">
    <mergeCell ref="B27:B30"/>
    <mergeCell ref="B31:B33"/>
    <mergeCell ref="B34:B36"/>
    <mergeCell ref="E34:E36"/>
    <mergeCell ref="B3:E3"/>
    <mergeCell ref="B11:B19"/>
    <mergeCell ref="B7:B10"/>
    <mergeCell ref="E7:E10"/>
    <mergeCell ref="B20:B26"/>
    <mergeCell ref="E31:E33"/>
    <mergeCell ref="E20:E26"/>
    <mergeCell ref="E11:E19"/>
    <mergeCell ref="B2:D2"/>
    <mergeCell ref="E27:E30"/>
  </mergeCells>
  <conditionalFormatting sqref="E7:E10">
    <cfRule type="expression" priority="1" dxfId="0">
      <formula>COUNTIF($C$7:$C$10,"✔")=4</formula>
    </cfRule>
  </conditionalFormatting>
  <conditionalFormatting sqref="E11:E19">
    <cfRule type="expression" priority="2" dxfId="0">
      <formula>COUNTIF($C$11:$C$19,"✔")=9</formula>
    </cfRule>
  </conditionalFormatting>
  <conditionalFormatting sqref="E20:E26">
    <cfRule type="expression" priority="3" dxfId="0">
      <formula>COUNTIF($C$20:$C$26,"✔")=7</formula>
    </cfRule>
  </conditionalFormatting>
  <conditionalFormatting sqref="E27:E30">
    <cfRule type="expression" priority="4" dxfId="0">
      <formula>COUNTIF($C$27:$C$30,"✔")=4</formula>
    </cfRule>
  </conditionalFormatting>
  <conditionalFormatting sqref="E31:E33">
    <cfRule type="expression" priority="5" dxfId="0">
      <formula>COUNTIF($C$31:$C$33,"✔")=3</formula>
    </cfRule>
  </conditionalFormatting>
  <conditionalFormatting sqref="E34:E36">
    <cfRule type="expression" priority="6" dxfId="0">
      <formula>COUNTIF($C$34:$C$36,"✔")=3</formula>
    </cfRule>
  </conditionalFormatting>
  <dataValidations count="1">
    <dataValidation sqref="C7 C8 C9 C10 C11 C12 C13 C14 C15 C16 C17 C18 C19 C20 C21 C22 C23 C24 C25 C26 C27 C28 C29 C30 C31 C32 C33 C34 C35 C36" showDropDown="0" showInputMessage="0" showErrorMessage="0" allowBlank="1" type="list">
      <formula1>"✔"</formula1>
    </dataValidation>
  </dataValidations>
  <hyperlinks>
    <hyperlink xmlns:r="http://schemas.openxmlformats.org/officeDocument/2006/relationships" ref="B1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B07D12"/>
    <outlinePr summaryBelow="1" summaryRight="1"/>
    <pageSetUpPr/>
  </sheetPr>
  <dimension ref="B1:M27"/>
  <sheetViews>
    <sheetView workbookViewId="0">
      <selection activeCell="A1" sqref="A1"/>
    </sheetView>
  </sheetViews>
  <sheetFormatPr baseColWidth="8" defaultRowHeight="15"/>
  <cols>
    <col width="3" customWidth="1" min="1" max="1"/>
    <col width="27" customWidth="1" min="2" max="2"/>
    <col width="6" customWidth="1" min="3" max="3"/>
    <col width="95" customWidth="1" min="4" max="4"/>
    <col width="16" customWidth="1" min="5" max="5"/>
    <col hidden="1" width="13" customWidth="1" min="7" max="7"/>
    <col hidden="1" width="3" customWidth="1" min="8" max="8"/>
    <col hidden="1" width="3" customWidth="1" min="9" max="9"/>
    <col hidden="1" width="3" customWidth="1" min="10" max="10"/>
    <col hidden="1" width="3" customWidth="1" min="11" max="11"/>
    <col hidden="1" width="3" customWidth="1" min="13" max="13"/>
  </cols>
  <sheetData>
    <row r="1" ht="15" customHeight="1">
      <c r="B1" s="25" t="inlineStr">
        <is>
          <t>← Dashboard</t>
        </is>
      </c>
      <c r="M1">
        <f>SUM(H7:H12)</f>
        <v/>
      </c>
    </row>
    <row r="2" ht="39.75" customHeight="1">
      <c r="B2" s="36" t="inlineStr">
        <is>
          <t>System</t>
        </is>
      </c>
      <c r="E2" s="37" t="inlineStr">
        <is>
          <t>SOLUTION</t>
        </is>
      </c>
      <c r="M2">
        <f>SUM(I7:I12)</f>
        <v/>
      </c>
    </row>
    <row r="3" ht="31.5" customHeight="1">
      <c r="B3" s="38" t="inlineStr">
        <is>
          <t>Het systeem dat waarde levert — software, geconfigureerde producten, hardware, data en services. Een generalisatie van Essence's Software System.</t>
        </is>
      </c>
      <c r="M3">
        <f>SUM(K7:K12)</f>
        <v/>
      </c>
    </row>
    <row r="4" ht="13.5" customHeight="1">
      <c r="B4" s="39" t="inlineStr">
        <is>
          <t>HUIDIGE TOESTAND</t>
        </is>
      </c>
      <c r="C4" s="39" t="inlineStr">
        <is>
          <t>VOORTGANG</t>
        </is>
      </c>
      <c r="D4" s="39" t="inlineStr">
        <is>
          <t>TOESTANDEN BEREIKT</t>
        </is>
      </c>
      <c r="E4" s="39" t="inlineStr">
        <is>
          <t>EIGENAAR · GEBIED</t>
        </is>
      </c>
      <c r="M4">
        <f>SUM(J7:J12)</f>
        <v/>
      </c>
    </row>
    <row r="5" ht="25.5" customHeight="1">
      <c r="B5" s="40">
        <f>IF(M3=0,"Niet gestart",INDEX(G7:G12,M3))</f>
        <v/>
      </c>
      <c r="C5" s="41">
        <f>IF(M2=0,0,M1/M2)</f>
        <v/>
      </c>
      <c r="D5" s="40">
        <f>M4&amp;" / "&amp;6</f>
        <v/>
      </c>
      <c r="E5" s="42" t="inlineStr">
        <is>
          <t>Kernel · SOL</t>
        </is>
      </c>
    </row>
    <row r="6" ht="19.5" customHeight="1">
      <c r="B6" s="9" t="inlineStr">
        <is>
          <t>TOESTAND</t>
        </is>
      </c>
      <c r="C6" s="43" t="inlineStr">
        <is>
          <t>✔</t>
        </is>
      </c>
      <c r="D6" s="9" t="inlineStr">
        <is>
          <t>CHECKLISTPUNT</t>
        </is>
      </c>
      <c r="E6" s="9" t="inlineStr">
        <is>
          <t>TOESTANDSSTATUS</t>
        </is>
      </c>
    </row>
    <row r="7" ht="21" customHeight="1">
      <c r="B7" s="44" t="inlineStr">
        <is>
          <t>1. Architecture Selected</t>
        </is>
      </c>
      <c r="C7" s="45" t="inlineStr">
        <is>
          <t>✔</t>
        </is>
      </c>
      <c r="D7" s="46" t="inlineStr">
        <is>
          <t>De criteria voor het selecteren van de architectuur zijn overeengekomen.</t>
        </is>
      </c>
      <c r="E7" s="47">
        <f>COUNTIF(C7:C10,"✔")&amp;" / 4"</f>
        <v/>
      </c>
      <c r="G7" t="inlineStr">
        <is>
          <t>Architecture Selected</t>
        </is>
      </c>
      <c r="H7">
        <f>COUNTIF(C7:C10,"✔")</f>
        <v/>
      </c>
      <c r="I7" t="n">
        <v>4</v>
      </c>
      <c r="J7">
        <f>IF(H7=I7,1,0)</f>
        <v/>
      </c>
      <c r="K7">
        <f>J7</f>
        <v/>
      </c>
    </row>
    <row r="8" ht="21" customHeight="1">
      <c r="B8" s="48" t="n"/>
      <c r="C8" s="49" t="inlineStr">
        <is>
          <t>✔</t>
        </is>
      </c>
      <c r="D8" s="50" t="inlineStr">
        <is>
          <t>Een architectuur is geselecteerd die de sleuteltechnische risico's aanpakt.</t>
        </is>
      </c>
      <c r="G8" t="inlineStr">
        <is>
          <t>Demonstrable</t>
        </is>
      </c>
      <c r="H8">
        <f>COUNTIF(C11:C14,"✔")</f>
        <v/>
      </c>
      <c r="I8" t="n">
        <v>4</v>
      </c>
      <c r="J8">
        <f>IF(H8=I8,1,0)</f>
        <v/>
      </c>
      <c r="K8">
        <f>J8*K7</f>
        <v/>
      </c>
    </row>
    <row r="9" ht="21" customHeight="1">
      <c r="B9" s="48" t="n"/>
      <c r="C9" s="45" t="inlineStr">
        <is>
          <t>✔</t>
        </is>
      </c>
      <c r="D9" s="46" t="inlineStr">
        <is>
          <t>De bouwen / kopen / configureren-beslissingen zijn genomen.</t>
        </is>
      </c>
      <c r="G9" t="inlineStr">
        <is>
          <t>Usable</t>
        </is>
      </c>
      <c r="H9">
        <f>COUNTIF(C15:C18,"✔")</f>
        <v/>
      </c>
      <c r="I9" t="n">
        <v>4</v>
      </c>
      <c r="J9">
        <f>IF(H9=I9,1,0)</f>
        <v/>
      </c>
      <c r="K9">
        <f>J9*K8</f>
        <v/>
      </c>
    </row>
    <row r="10" ht="21" customHeight="1">
      <c r="B10" s="48" t="n"/>
      <c r="C10" s="49" t="inlineStr">
        <is>
          <t>✔</t>
        </is>
      </c>
      <c r="D10" s="50" t="inlineStr">
        <is>
          <t>De technologie- en platformbeslissingen zijn overeengekomen met stakeholders.</t>
        </is>
      </c>
      <c r="G10" t="inlineStr">
        <is>
          <t>Ready</t>
        </is>
      </c>
      <c r="H10">
        <f>COUNTIF(C19:C22,"✔")</f>
        <v/>
      </c>
      <c r="I10" t="n">
        <v>4</v>
      </c>
      <c r="J10">
        <f>IF(H10=I10,1,0)</f>
        <v/>
      </c>
      <c r="K10">
        <f>J10*K9</f>
        <v/>
      </c>
    </row>
    <row r="11" ht="21" customHeight="1">
      <c r="B11" s="44" t="inlineStr">
        <is>
          <t>2. Demonstrable</t>
        </is>
      </c>
      <c r="C11" s="45" t="inlineStr">
        <is>
          <t>✔</t>
        </is>
      </c>
      <c r="D11" s="46" t="inlineStr">
        <is>
          <t>De sleutelarchitectuurkenmerken zijn aangetoond.</t>
        </is>
      </c>
      <c r="E11" s="47">
        <f>COUNTIF(C11:C14,"✔")&amp;" / 4"</f>
        <v/>
      </c>
      <c r="G11" t="inlineStr">
        <is>
          <t>Operational</t>
        </is>
      </c>
      <c r="H11">
        <f>COUNTIF(C23:C25,"✔")</f>
        <v/>
      </c>
      <c r="I11" t="n">
        <v>3</v>
      </c>
      <c r="J11">
        <f>IF(H11=I11,1,0)</f>
        <v/>
      </c>
      <c r="K11">
        <f>J11*K10</f>
        <v/>
      </c>
    </row>
    <row r="12" ht="21" customHeight="1">
      <c r="B12" s="48" t="n"/>
      <c r="C12" s="49" t="inlineStr">
        <is>
          <t>✔</t>
        </is>
      </c>
      <c r="D12" s="50" t="inlineStr">
        <is>
          <t>De relevante stakeholders zijn het erover eens dat de architectuur geschikt is.</t>
        </is>
      </c>
      <c r="G12" t="inlineStr">
        <is>
          <t>Retired</t>
        </is>
      </c>
      <c r="H12">
        <f>COUNTIF(C26:C27,"✔")</f>
        <v/>
      </c>
      <c r="I12" t="n">
        <v>2</v>
      </c>
      <c r="J12">
        <f>IF(H12=I12,1,0)</f>
        <v/>
      </c>
      <c r="K12">
        <f>J12*K11</f>
        <v/>
      </c>
    </row>
    <row r="13" ht="21" customHeight="1">
      <c r="B13" s="48" t="n"/>
      <c r="C13" s="45" t="inlineStr"/>
      <c r="D13" s="46" t="inlineStr">
        <is>
          <t>De kritieke interfaces en integraties zijn getest.</t>
        </is>
      </c>
    </row>
    <row r="14" ht="21" customHeight="1">
      <c r="B14" s="48" t="n"/>
      <c r="C14" s="49" t="inlineStr"/>
      <c r="D14" s="50" t="inlineStr">
        <is>
          <t>Prestaties zijn gemeten ten opzichte van de sleuteldrivers.</t>
        </is>
      </c>
    </row>
    <row r="15" ht="21" customHeight="1">
      <c r="B15" s="44" t="inlineStr">
        <is>
          <t>3. Usable</t>
        </is>
      </c>
      <c r="C15" s="45" t="inlineStr"/>
      <c r="D15" s="46" t="inlineStr">
        <is>
          <t>Het systeem kan worden bediend door representatieve gebruikers.</t>
        </is>
      </c>
      <c r="E15" s="47">
        <f>COUNTIF(C15:C18,"✔")&amp;" / 4"</f>
        <v/>
      </c>
    </row>
    <row r="16" ht="21" customHeight="1">
      <c r="B16" s="48" t="n"/>
      <c r="C16" s="49" t="inlineStr"/>
      <c r="D16" s="50" t="inlineStr">
        <is>
          <t>De functionaliteit is aangetoond.</t>
        </is>
      </c>
    </row>
    <row r="17" ht="21" customHeight="1">
      <c r="B17" s="48" t="n"/>
      <c r="C17" s="45" t="inlineStr"/>
      <c r="D17" s="46" t="inlineStr">
        <is>
          <t>De prestatie- en defectniveaus zijn aanvaardbaar.</t>
        </is>
      </c>
    </row>
    <row r="18" ht="21" customHeight="1">
      <c r="B18" s="48" t="n"/>
      <c r="C18" s="49" t="inlineStr"/>
      <c r="D18" s="50" t="inlineStr">
        <is>
          <t>Een bruikbaar systeem is beschikbaar.</t>
        </is>
      </c>
    </row>
    <row r="19" ht="21" customHeight="1">
      <c r="B19" s="44" t="inlineStr">
        <is>
          <t>4. Ready</t>
        </is>
      </c>
      <c r="C19" s="45" t="inlineStr"/>
      <c r="D19" s="46" t="inlineStr">
        <is>
          <t>Het systeem heeft de overeengekomen tests doorstaan.</t>
        </is>
      </c>
      <c r="E19" s="47">
        <f>COUNTIF(C19:C22,"✔")&amp;" / 4"</f>
        <v/>
      </c>
    </row>
    <row r="20" ht="21" customHeight="1">
      <c r="B20" s="48" t="n"/>
      <c r="C20" s="49" t="inlineStr"/>
      <c r="D20" s="50" t="inlineStr">
        <is>
          <t>Operationele en ondersteuningsdocumentatie is beschikbaar.</t>
        </is>
      </c>
    </row>
    <row r="21" ht="21" customHeight="1">
      <c r="B21" s="48" t="n"/>
      <c r="C21" s="45" t="inlineStr"/>
      <c r="D21" s="46" t="inlineStr">
        <is>
          <t>De stakeholdervertegenwoordigers accepteren het systeem.</t>
        </is>
      </c>
    </row>
    <row r="22" ht="21" customHeight="1">
      <c r="B22" s="48" t="n"/>
      <c r="C22" s="49" t="inlineStr"/>
      <c r="D22" s="50" t="inlineStr">
        <is>
          <t>Het systeem is klaar voor inzet.</t>
        </is>
      </c>
    </row>
    <row r="23" ht="21" customHeight="1">
      <c r="B23" s="44" t="inlineStr">
        <is>
          <t>5. Operational</t>
        </is>
      </c>
      <c r="C23" s="45" t="inlineStr"/>
      <c r="D23" s="46" t="inlineStr">
        <is>
          <t>Het systeem is in gebruik in de operationele omgeving.</t>
        </is>
      </c>
      <c r="E23" s="47">
        <f>COUNTIF(C23:C25,"✔")&amp;" / 3"</f>
        <v/>
      </c>
    </row>
    <row r="24" ht="21" customHeight="1">
      <c r="B24" s="48" t="n"/>
      <c r="C24" s="49" t="inlineStr"/>
      <c r="D24" s="50" t="inlineStr">
        <is>
          <t>Het systeem wordt ondersteund conform de overeengekomen serviceniveaus.</t>
        </is>
      </c>
    </row>
    <row r="25" ht="21" customHeight="1">
      <c r="B25" s="48" t="n"/>
      <c r="C25" s="45" t="inlineStr"/>
      <c r="D25" s="46" t="inlineStr">
        <is>
          <t>Het systeem is beschikbaar voor de beoogde gebruikers.</t>
        </is>
      </c>
    </row>
    <row r="26" ht="21" customHeight="1">
      <c r="B26" s="44" t="inlineStr">
        <is>
          <t>6. Retired</t>
        </is>
      </c>
      <c r="C26" s="49" t="inlineStr"/>
      <c r="D26" s="50" t="inlineStr">
        <is>
          <t>Het systeem wordt niet meer ondersteund.</t>
        </is>
      </c>
      <c r="E26" s="47">
        <f>COUNTIF(C26:C27,"✔")&amp;" / 2"</f>
        <v/>
      </c>
    </row>
    <row r="27" ht="21" customHeight="1">
      <c r="B27" s="48" t="n"/>
      <c r="C27" s="45" t="inlineStr"/>
      <c r="D27" s="46" t="inlineStr">
        <is>
          <t>Het systeem is vervangen of uit gebruik genomen.</t>
        </is>
      </c>
    </row>
  </sheetData>
  <mergeCells count="14">
    <mergeCell ref="B26:B27"/>
    <mergeCell ref="B23:B25"/>
    <mergeCell ref="E15:E18"/>
    <mergeCell ref="B19:B22"/>
    <mergeCell ref="E23:E25"/>
    <mergeCell ref="B3:E3"/>
    <mergeCell ref="B7:B10"/>
    <mergeCell ref="B11:B14"/>
    <mergeCell ref="E7:E10"/>
    <mergeCell ref="E11:E14"/>
    <mergeCell ref="B15:B18"/>
    <mergeCell ref="E26:E27"/>
    <mergeCell ref="E19:E22"/>
    <mergeCell ref="B2:D2"/>
  </mergeCells>
  <conditionalFormatting sqref="E7:E10">
    <cfRule type="expression" priority="1" dxfId="0">
      <formula>COUNTIF($C$7:$C$10,"✔")=4</formula>
    </cfRule>
  </conditionalFormatting>
  <conditionalFormatting sqref="E11:E14">
    <cfRule type="expression" priority="2" dxfId="0">
      <formula>COUNTIF($C$11:$C$14,"✔")=4</formula>
    </cfRule>
  </conditionalFormatting>
  <conditionalFormatting sqref="E15:E18">
    <cfRule type="expression" priority="3" dxfId="0">
      <formula>COUNTIF($C$15:$C$18,"✔")=4</formula>
    </cfRule>
  </conditionalFormatting>
  <conditionalFormatting sqref="E19:E22">
    <cfRule type="expression" priority="4" dxfId="0">
      <formula>COUNTIF($C$19:$C$22,"✔")=4</formula>
    </cfRule>
  </conditionalFormatting>
  <conditionalFormatting sqref="E23:E25">
    <cfRule type="expression" priority="5" dxfId="0">
      <formula>COUNTIF($C$23:$C$25,"✔")=3</formula>
    </cfRule>
  </conditionalFormatting>
  <conditionalFormatting sqref="E26:E27">
    <cfRule type="expression" priority="6" dxfId="0">
      <formula>COUNTIF($C$26:$C$27,"✔")=2</formula>
    </cfRule>
  </conditionalFormatting>
  <dataValidations count="1">
    <dataValidation sqref="C7 C8 C9 C10 C11 C12 C13 C14 C15 C16 C17 C18 C19 C20 C21 C22 C23 C24 C25 C26 C27" showDropDown="0" showInputMessage="0" showErrorMessage="0" allowBlank="1" type="list">
      <formula1>"✔"</formula1>
    </dataValidation>
  </dataValidations>
  <hyperlinks>
    <hyperlink xmlns:r="http://schemas.openxmlformats.org/officeDocument/2006/relationships" ref="B1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B07D12"/>
    <outlinePr summaryBelow="1" summaryRight="1"/>
    <pageSetUpPr/>
  </sheetPr>
  <dimension ref="B1:M16"/>
  <sheetViews>
    <sheetView workbookViewId="0">
      <selection activeCell="A1" sqref="A1"/>
    </sheetView>
  </sheetViews>
  <sheetFormatPr baseColWidth="8" defaultRowHeight="15"/>
  <cols>
    <col width="3" customWidth="1" min="1" max="1"/>
    <col width="27" customWidth="1" min="2" max="2"/>
    <col width="6" customWidth="1" min="3" max="3"/>
    <col width="95" customWidth="1" min="4" max="4"/>
    <col width="16" customWidth="1" min="5" max="5"/>
    <col hidden="1" width="13" customWidth="1" min="7" max="7"/>
    <col hidden="1" width="3" customWidth="1" min="8" max="8"/>
    <col hidden="1" width="3" customWidth="1" min="9" max="9"/>
    <col hidden="1" width="3" customWidth="1" min="10" max="10"/>
    <col hidden="1" width="3" customWidth="1" min="11" max="11"/>
    <col hidden="1" width="3" customWidth="1" min="13" max="13"/>
  </cols>
  <sheetData>
    <row r="1" ht="15" customHeight="1">
      <c r="B1" s="25" t="inlineStr">
        <is>
          <t>← Dashboard</t>
        </is>
      </c>
      <c r="M1">
        <f>SUM(H7:H11)</f>
        <v/>
      </c>
    </row>
    <row r="2" ht="39.75" customHeight="1">
      <c r="B2" s="51" t="inlineStr">
        <is>
          <t>Architectural Drivers</t>
        </is>
      </c>
      <c r="E2" s="37" t="inlineStr">
        <is>
          <t>SOLUTION</t>
        </is>
      </c>
      <c r="M2">
        <f>SUM(I7:I11)</f>
        <v/>
      </c>
    </row>
    <row r="3" ht="31.5" customHeight="1">
      <c r="B3" s="38" t="inlineStr">
        <is>
          <t>De zakelijke en technische eisen die architectuurkeuzes sturen. Omvat: strategische drivers (aanleiding), doelen (goals), kwaliteitsattributen (performance, security, …), beperkingen (constraints) en principes. Vergelijkbaar met de ArchiMate motivatielaag (Driver · Goal · Requirement · Constraint · Principle).</t>
        </is>
      </c>
      <c r="M3">
        <f>SUM(K7:K11)</f>
        <v/>
      </c>
    </row>
    <row r="4" ht="13.5" customHeight="1">
      <c r="B4" s="39" t="inlineStr">
        <is>
          <t>HUIDIGE TOESTAND</t>
        </is>
      </c>
      <c r="C4" s="39" t="inlineStr">
        <is>
          <t>VOORTGANG</t>
        </is>
      </c>
      <c r="D4" s="39" t="inlineStr">
        <is>
          <t>TOESTANDEN BEREIKT</t>
        </is>
      </c>
      <c r="E4" s="39" t="inlineStr">
        <is>
          <t>EIGENAAR · GEBIED</t>
        </is>
      </c>
      <c r="M4">
        <f>SUM(J7:J11)</f>
        <v/>
      </c>
    </row>
    <row r="5" ht="25.5" customHeight="1">
      <c r="B5" s="52">
        <f>IF(M3=0,"Niet gestart",INDEX(G7:G11,M3))</f>
        <v/>
      </c>
      <c r="C5" s="53">
        <f>IF(M2=0,0,M1/M2)</f>
        <v/>
      </c>
      <c r="D5" s="52">
        <f>M4&amp;" / "&amp;5</f>
        <v/>
      </c>
      <c r="E5" s="54" t="inlineStr">
        <is>
          <t>MVA · SOL</t>
        </is>
      </c>
    </row>
    <row r="6" ht="19.5" customHeight="1">
      <c r="B6" s="9" t="inlineStr">
        <is>
          <t>TOESTAND</t>
        </is>
      </c>
      <c r="C6" s="43" t="inlineStr">
        <is>
          <t>✔</t>
        </is>
      </c>
      <c r="D6" s="9" t="inlineStr">
        <is>
          <t>CHECKLISTPUNT</t>
        </is>
      </c>
      <c r="E6" s="9" t="inlineStr">
        <is>
          <t>TOESTANDSSTATUS</t>
        </is>
      </c>
    </row>
    <row r="7" ht="21" customHeight="1">
      <c r="B7" s="55" t="inlineStr">
        <is>
          <t>1. Identified</t>
        </is>
      </c>
      <c r="C7" s="45" t="inlineStr">
        <is>
          <t>✔</t>
        </is>
      </c>
      <c r="D7" s="46" t="inlineStr">
        <is>
          <t>Architectureel significante drivers zijn naar voren gebracht — denk aan strategische doelen, kwaliteitsattributen (bijv. performance, beveiliging), beperkingen (budget, technologie) en geldende principes.</t>
        </is>
      </c>
      <c r="E7" s="47">
        <f>COUNTIF(C7:C8,"✔")&amp;" / 2"</f>
        <v/>
      </c>
      <c r="G7" t="inlineStr">
        <is>
          <t>Identified</t>
        </is>
      </c>
      <c r="H7">
        <f>COUNTIF(C7:C8,"✔")</f>
        <v/>
      </c>
      <c r="I7" t="n">
        <v>2</v>
      </c>
      <c r="J7">
        <f>IF(H7=I7,1,0)</f>
        <v/>
      </c>
      <c r="K7">
        <f>J7</f>
        <v/>
      </c>
    </row>
    <row r="8" ht="21" customHeight="1">
      <c r="B8" s="48" t="n"/>
      <c r="C8" s="49" t="inlineStr">
        <is>
          <t>✔</t>
        </is>
      </c>
      <c r="D8" s="50" t="inlineStr">
        <is>
          <t>Van elke driver zijn type, omschrijving en eigenaar vastgelegd.</t>
        </is>
      </c>
      <c r="G8" t="inlineStr">
        <is>
          <t>Prioritised</t>
        </is>
      </c>
      <c r="H8">
        <f>COUNTIF(C9:C10,"✔")</f>
        <v/>
      </c>
      <c r="I8" t="n">
        <v>2</v>
      </c>
      <c r="J8">
        <f>IF(H8=I8,1,0)</f>
        <v/>
      </c>
      <c r="K8">
        <f>J8*K7</f>
        <v/>
      </c>
    </row>
    <row r="9" ht="21" customHeight="1">
      <c r="B9" s="55" t="inlineStr">
        <is>
          <t>2. Prioritised</t>
        </is>
      </c>
      <c r="C9" s="45" t="inlineStr">
        <is>
          <t>✔</t>
        </is>
      </c>
      <c r="D9" s="46" t="inlineStr">
        <is>
          <t>De architectureel significante drivers zijn overeengekomen en naar gewicht gerangschikt.</t>
        </is>
      </c>
      <c r="E9" s="47">
        <f>COUNTIF(C9:C10,"✔")&amp;" / 2"</f>
        <v/>
      </c>
      <c r="G9" t="inlineStr">
        <is>
          <t>Quantified</t>
        </is>
      </c>
      <c r="H9">
        <f>COUNTIF(C11:C12,"✔")</f>
        <v/>
      </c>
      <c r="I9" t="n">
        <v>2</v>
      </c>
      <c r="J9">
        <f>IF(H9=I9,1,0)</f>
        <v/>
      </c>
      <c r="K9">
        <f>J9*K8</f>
        <v/>
      </c>
    </row>
    <row r="10" ht="21" customHeight="1">
      <c r="B10" s="48" t="n"/>
      <c r="C10" s="49" t="inlineStr">
        <is>
          <t>✔</t>
        </is>
      </c>
      <c r="D10" s="50" t="inlineStr">
        <is>
          <t>De overige drivers zijn expliciet uitgesteld of verworpen.</t>
        </is>
      </c>
      <c r="G10" t="inlineStr">
        <is>
          <t>Addressed</t>
        </is>
      </c>
      <c r="H10">
        <f>COUNTIF(C13:C14,"✔")</f>
        <v/>
      </c>
      <c r="I10" t="n">
        <v>2</v>
      </c>
      <c r="J10">
        <f>IF(H10=I10,1,0)</f>
        <v/>
      </c>
      <c r="K10">
        <f>J10*K9</f>
        <v/>
      </c>
    </row>
    <row r="11" ht="21" customHeight="1">
      <c r="B11" s="55" t="inlineStr">
        <is>
          <t>3. Quantified</t>
        </is>
      </c>
      <c r="C11" s="45" t="inlineStr">
        <is>
          <t>✔</t>
        </is>
      </c>
      <c r="D11" s="46" t="inlineStr">
        <is>
          <t>Elke significante driver heeft een meetbaar succescriterium (bijv. responstijd &lt; 500 ms, beschikbaarheid ≥ 99,9%, kosten &lt; X).</t>
        </is>
      </c>
      <c r="E11" s="47">
        <f>COUNTIF(C11:C12,"✔")&amp;" / 2"</f>
        <v/>
      </c>
      <c r="G11" t="inlineStr">
        <is>
          <t>Sustained</t>
        </is>
      </c>
      <c r="H11">
        <f>COUNTIF(C15:C16,"✔")</f>
        <v/>
      </c>
      <c r="I11" t="n">
        <v>2</v>
      </c>
      <c r="J11">
        <f>IF(H11=I11,1,0)</f>
        <v/>
      </c>
      <c r="K11">
        <f>J11*K10</f>
        <v/>
      </c>
    </row>
    <row r="12" ht="21" customHeight="1">
      <c r="B12" s="48" t="n"/>
      <c r="C12" s="49" t="inlineStr">
        <is>
          <t>✔</t>
        </is>
      </c>
      <c r="D12" s="50" t="inlineStr">
        <is>
          <t>De meetcriteria zijn overeengekomen met de stakeholders.</t>
        </is>
      </c>
    </row>
    <row r="13" ht="21" customHeight="1">
      <c r="B13" s="55" t="inlineStr">
        <is>
          <t>4. Addressed</t>
        </is>
      </c>
      <c r="C13" s="45" t="inlineStr">
        <is>
          <t>✔</t>
        </is>
      </c>
      <c r="D13" s="46" t="inlineStr">
        <is>
          <t>De drivers zijn weerspiegeld in de beslissingen en de architectuur.</t>
        </is>
      </c>
      <c r="E13" s="47">
        <f>COUNTIF(C13:C14,"✔")&amp;" / 2"</f>
        <v/>
      </c>
    </row>
    <row r="14" ht="21" customHeight="1">
      <c r="B14" s="48" t="n"/>
      <c r="C14" s="49" t="inlineStr"/>
      <c r="D14" s="50" t="inlineStr">
        <is>
          <t>Bewijs toont aan dat de drivers worden nageleefd.</t>
        </is>
      </c>
    </row>
    <row r="15" ht="21" customHeight="1">
      <c r="B15" s="55" t="inlineStr">
        <is>
          <t>5. Sustained</t>
        </is>
      </c>
      <c r="C15" s="45" t="inlineStr"/>
      <c r="D15" s="46" t="inlineStr">
        <is>
          <t>De drivers worden bewaakt naarmate de context verandert.</t>
        </is>
      </c>
      <c r="E15" s="47">
        <f>COUNTIF(C15:C16,"✔")&amp;" / 2"</f>
        <v/>
      </c>
    </row>
    <row r="16" ht="21" customHeight="1">
      <c r="B16" s="48" t="n"/>
      <c r="C16" s="49" t="inlineStr"/>
      <c r="D16" s="50" t="inlineStr">
        <is>
          <t>De drivers worden opnieuw gevalideerd en bijgewerkt wanneer nodig.</t>
        </is>
      </c>
    </row>
  </sheetData>
  <mergeCells count="12">
    <mergeCell ref="B9:B10"/>
    <mergeCell ref="E9:E10"/>
    <mergeCell ref="B13:B14"/>
    <mergeCell ref="E13:E14"/>
    <mergeCell ref="B7:B8"/>
    <mergeCell ref="B11:B12"/>
    <mergeCell ref="E7:E8"/>
    <mergeCell ref="E15:E16"/>
    <mergeCell ref="B3:E3"/>
    <mergeCell ref="E11:E12"/>
    <mergeCell ref="B2:D2"/>
    <mergeCell ref="B15:B16"/>
  </mergeCells>
  <conditionalFormatting sqref="E7:E8">
    <cfRule type="expression" priority="1" dxfId="0">
      <formula>COUNTIF($C$7:$C$8,"✔")=2</formula>
    </cfRule>
  </conditionalFormatting>
  <conditionalFormatting sqref="E9:E10">
    <cfRule type="expression" priority="2" dxfId="0">
      <formula>COUNTIF($C$9:$C$10,"✔")=2</formula>
    </cfRule>
  </conditionalFormatting>
  <conditionalFormatting sqref="E11:E12">
    <cfRule type="expression" priority="3" dxfId="0">
      <formula>COUNTIF($C$11:$C$12,"✔")=2</formula>
    </cfRule>
  </conditionalFormatting>
  <conditionalFormatting sqref="E13:E14">
    <cfRule type="expression" priority="4" dxfId="0">
      <formula>COUNTIF($C$13:$C$14,"✔")=2</formula>
    </cfRule>
  </conditionalFormatting>
  <conditionalFormatting sqref="E15:E16">
    <cfRule type="expression" priority="5" dxfId="0">
      <formula>COUNTIF($C$15:$C$16,"✔")=2</formula>
    </cfRule>
  </conditionalFormatting>
  <dataValidations count="1">
    <dataValidation sqref="C7 C8 C9 C10 C11 C12 C13 C14 C15 C16" showDropDown="0" showInputMessage="0" showErrorMessage="0" allowBlank="1" type="list">
      <formula1>"✔"</formula1>
    </dataValidation>
  </dataValidations>
  <hyperlinks>
    <hyperlink xmlns:r="http://schemas.openxmlformats.org/officeDocument/2006/relationships" ref="B1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B07D12"/>
    <outlinePr summaryBelow="1" summaryRight="1"/>
    <pageSetUpPr/>
  </sheetPr>
  <dimension ref="B1:M17"/>
  <sheetViews>
    <sheetView workbookViewId="0">
      <selection activeCell="A1" sqref="A1"/>
    </sheetView>
  </sheetViews>
  <sheetFormatPr baseColWidth="8" defaultRowHeight="15"/>
  <cols>
    <col width="3" customWidth="1" min="1" max="1"/>
    <col width="27" customWidth="1" min="2" max="2"/>
    <col width="6" customWidth="1" min="3" max="3"/>
    <col width="95" customWidth="1" min="4" max="4"/>
    <col width="16" customWidth="1" min="5" max="5"/>
    <col hidden="1" width="13" customWidth="1" min="7" max="7"/>
    <col hidden="1" width="3" customWidth="1" min="8" max="8"/>
    <col hidden="1" width="3" customWidth="1" min="9" max="9"/>
    <col hidden="1" width="3" customWidth="1" min="10" max="10"/>
    <col hidden="1" width="3" customWidth="1" min="11" max="11"/>
    <col hidden="1" width="3" customWidth="1" min="13" max="13"/>
  </cols>
  <sheetData>
    <row r="1" ht="15" customHeight="1">
      <c r="B1" s="25" t="inlineStr">
        <is>
          <t>← Dashboard</t>
        </is>
      </c>
      <c r="M1">
        <f>SUM(H7:H12)</f>
        <v/>
      </c>
    </row>
    <row r="2" ht="39.75" customHeight="1">
      <c r="B2" s="51" t="inlineStr">
        <is>
          <t>Architecture</t>
        </is>
      </c>
      <c r="E2" s="37" t="inlineStr">
        <is>
          <t>SOLUTION</t>
        </is>
      </c>
      <c r="M2">
        <f>SUM(I7:I12)</f>
        <v/>
      </c>
    </row>
    <row r="3" ht="31.5" customHeight="1">
      <c r="B3" s="38" t="inlineStr">
        <is>
          <t>De minimale set van structuren, bouwstenen en overzichten die nodig zijn om de significante drivers te vervullen en levering mogelijk te maken.</t>
        </is>
      </c>
      <c r="M3">
        <f>SUM(K7:K12)</f>
        <v/>
      </c>
    </row>
    <row r="4" ht="13.5" customHeight="1">
      <c r="B4" s="39" t="inlineStr">
        <is>
          <t>HUIDIGE TOESTAND</t>
        </is>
      </c>
      <c r="C4" s="39" t="inlineStr">
        <is>
          <t>VOORTGANG</t>
        </is>
      </c>
      <c r="D4" s="39" t="inlineStr">
        <is>
          <t>TOESTANDEN BEREIKT</t>
        </is>
      </c>
      <c r="E4" s="39" t="inlineStr">
        <is>
          <t>EIGENAAR · GEBIED</t>
        </is>
      </c>
      <c r="M4">
        <f>SUM(J7:J12)</f>
        <v/>
      </c>
    </row>
    <row r="5" ht="25.5" customHeight="1">
      <c r="B5" s="52">
        <f>IF(M3=0,"Niet gestart",INDEX(G7:G12,M3))</f>
        <v/>
      </c>
      <c r="C5" s="53">
        <f>IF(M2=0,0,M1/M2)</f>
        <v/>
      </c>
      <c r="D5" s="52">
        <f>M4&amp;" / "&amp;6</f>
        <v/>
      </c>
      <c r="E5" s="54" t="inlineStr">
        <is>
          <t>MVA · SOL</t>
        </is>
      </c>
    </row>
    <row r="6" ht="19.5" customHeight="1">
      <c r="B6" s="9" t="inlineStr">
        <is>
          <t>TOESTAND</t>
        </is>
      </c>
      <c r="C6" s="43" t="inlineStr">
        <is>
          <t>✔</t>
        </is>
      </c>
      <c r="D6" s="9" t="inlineStr">
        <is>
          <t>CHECKLISTPUNT</t>
        </is>
      </c>
      <c r="E6" s="9" t="inlineStr">
        <is>
          <t>TOESTANDSSTATUS</t>
        </is>
      </c>
    </row>
    <row r="7" ht="21" customHeight="1">
      <c r="B7" s="55" t="inlineStr">
        <is>
          <t>1. Envisioned</t>
        </is>
      </c>
      <c r="C7" s="45" t="inlineStr">
        <is>
          <t>✔</t>
        </is>
      </c>
      <c r="D7" s="46" t="inlineStr">
        <is>
          <t>De doelrichting, scope en waarde zijn overeengekomen op één pagina.</t>
        </is>
      </c>
      <c r="E7" s="47">
        <f>COUNTIF(C7:C8,"✔")&amp;" / 2"</f>
        <v/>
      </c>
      <c r="G7" t="inlineStr">
        <is>
          <t>Envisioned</t>
        </is>
      </c>
      <c r="H7">
        <f>COUNTIF(C7:C8,"✔")</f>
        <v/>
      </c>
      <c r="I7" t="n">
        <v>2</v>
      </c>
      <c r="J7">
        <f>IF(H7=I7,1,0)</f>
        <v/>
      </c>
      <c r="K7">
        <f>J7</f>
        <v/>
      </c>
    </row>
    <row r="8" ht="21" customHeight="1">
      <c r="B8" s="48" t="n"/>
      <c r="C8" s="49" t="inlineStr">
        <is>
          <t>✔</t>
        </is>
      </c>
      <c r="D8" s="50" t="inlineStr">
        <is>
          <t>De sleutelstakeholders delen de visie.</t>
        </is>
      </c>
      <c r="G8" t="inlineStr">
        <is>
          <t>Outlined</t>
        </is>
      </c>
      <c r="H8">
        <f>COUNTIF(C9:C10,"✔")</f>
        <v/>
      </c>
      <c r="I8" t="n">
        <v>2</v>
      </c>
      <c r="J8">
        <f>IF(H8=I8,1,0)</f>
        <v/>
      </c>
      <c r="K8">
        <f>J8*K7</f>
        <v/>
      </c>
    </row>
    <row r="9" ht="21" customHeight="1">
      <c r="B9" s="55" t="inlineStr">
        <is>
          <t>2. Outlined</t>
        </is>
      </c>
      <c r="C9" s="45" t="inlineStr">
        <is>
          <t>✔</t>
        </is>
      </c>
      <c r="D9" s="46" t="inlineStr">
        <is>
          <t>De minimale haalbare structuur, grenzen en interfaces zijn gedefinieerd.</t>
        </is>
      </c>
      <c r="E9" s="47">
        <f>COUNTIF(C9:C10,"✔")&amp;" / 2"</f>
        <v/>
      </c>
      <c r="G9" t="inlineStr">
        <is>
          <t>Demonstrated</t>
        </is>
      </c>
      <c r="H9">
        <f>COUNTIF(C11:C12,"✔")</f>
        <v/>
      </c>
      <c r="I9" t="n">
        <v>2</v>
      </c>
      <c r="J9">
        <f>IF(H9=I9,1,0)</f>
        <v/>
      </c>
      <c r="K9">
        <f>J9*K8</f>
        <v/>
      </c>
    </row>
    <row r="10" ht="21" customHeight="1">
      <c r="B10" s="48" t="n"/>
      <c r="C10" s="49" t="inlineStr">
        <is>
          <t>✔</t>
        </is>
      </c>
      <c r="D10" s="50" t="inlineStr">
        <is>
          <t>Alleen de bouwstenen die nu nodig zijn zijn opgenomen.</t>
        </is>
      </c>
      <c r="G10" t="inlineStr">
        <is>
          <t>Usable</t>
        </is>
      </c>
      <c r="H10">
        <f>COUNTIF(C13:C14,"✔")</f>
        <v/>
      </c>
      <c r="I10" t="n">
        <v>2</v>
      </c>
      <c r="J10">
        <f>IF(H10=I10,1,0)</f>
        <v/>
      </c>
      <c r="K10">
        <f>J10*K9</f>
        <v/>
      </c>
    </row>
    <row r="11" ht="21" customHeight="1">
      <c r="B11" s="55" t="inlineStr">
        <is>
          <t>3. Demonstrated</t>
        </is>
      </c>
      <c r="C11" s="45" t="inlineStr">
        <is>
          <t>✔</t>
        </is>
      </c>
      <c r="D11" s="46" t="inlineStr">
        <is>
          <t>De risicovolste delen zijn bewezen via spike, referentie of increment.</t>
        </is>
      </c>
      <c r="E11" s="47">
        <f>COUNTIF(C11:C12,"✔")&amp;" / 2"</f>
        <v/>
      </c>
      <c r="G11" t="inlineStr">
        <is>
          <t>Established</t>
        </is>
      </c>
      <c r="H11">
        <f>COUNTIF(C15:C15,"✔")</f>
        <v/>
      </c>
      <c r="I11" t="n">
        <v>1</v>
      </c>
      <c r="J11">
        <f>IF(H11=I11,1,0)</f>
        <v/>
      </c>
      <c r="K11">
        <f>J11*K10</f>
        <v/>
      </c>
    </row>
    <row r="12" ht="21" customHeight="1">
      <c r="B12" s="48" t="n"/>
      <c r="C12" s="49" t="inlineStr">
        <is>
          <t>✔</t>
        </is>
      </c>
      <c r="D12" s="50" t="inlineStr">
        <is>
          <t>De sleutelbeslissingen zijn gevalideerd door bewijs.</t>
        </is>
      </c>
      <c r="G12" t="inlineStr">
        <is>
          <t>Evolving</t>
        </is>
      </c>
      <c r="H12">
        <f>COUNTIF(C16:C17,"✔")</f>
        <v/>
      </c>
      <c r="I12" t="n">
        <v>2</v>
      </c>
      <c r="J12">
        <f>IF(H12=I12,1,0)</f>
        <v/>
      </c>
      <c r="K12">
        <f>J12*K11</f>
        <v/>
      </c>
    </row>
    <row r="13" ht="21" customHeight="1">
      <c r="B13" s="55" t="inlineStr">
        <is>
          <t>4. Usable</t>
        </is>
      </c>
      <c r="C13" s="45" t="inlineStr">
        <is>
          <t>✔</t>
        </is>
      </c>
      <c r="D13" s="46" t="inlineStr">
        <is>
          <t>De architectuur leidt actief levering en stelt beperkingen.</t>
        </is>
      </c>
      <c r="E13" s="47">
        <f>COUNTIF(C13:C14,"✔")&amp;" / 2"</f>
        <v/>
      </c>
    </row>
    <row r="14" ht="21" customHeight="1">
      <c r="B14" s="48" t="n"/>
      <c r="C14" s="49" t="inlineStr"/>
      <c r="D14" s="50" t="inlineStr">
        <is>
          <t>De teams bouwen er actief binnen.</t>
        </is>
      </c>
    </row>
    <row r="15" ht="21" customHeight="1">
      <c r="B15" s="55" t="inlineStr">
        <is>
          <t>5. Established</t>
        </is>
      </c>
      <c r="C15" s="45" t="inlineStr"/>
      <c r="D15" s="46" t="inlineStr">
        <is>
          <t>De architectuur is operationeel en levert de beoogde uitkomsten.</t>
        </is>
      </c>
      <c r="E15" s="47">
        <f>COUNTIF(C15:C15,"✔")&amp;" / 1"</f>
        <v/>
      </c>
    </row>
    <row r="16" ht="21" customHeight="1">
      <c r="B16" s="55" t="inlineStr">
        <is>
          <t>6. Evolving</t>
        </is>
      </c>
      <c r="C16" s="49" t="inlineStr"/>
      <c r="D16" s="50" t="inlineStr">
        <is>
          <t>De architectuur verandert onder beheerde, continue aanpassing.</t>
        </is>
      </c>
      <c r="E16" s="47">
        <f>COUNTIF(C16:C17,"✔")&amp;" / 2"</f>
        <v/>
      </c>
    </row>
    <row r="17" ht="21" customHeight="1">
      <c r="B17" s="48" t="n"/>
      <c r="C17" s="45" t="inlineStr"/>
      <c r="D17" s="46" t="inlineStr">
        <is>
          <t>Wijziging wordt afgehandeld zonder grootschalige herontwikkeling.</t>
        </is>
      </c>
    </row>
  </sheetData>
  <mergeCells count="12">
    <mergeCell ref="B9:B10"/>
    <mergeCell ref="E9:E10"/>
    <mergeCell ref="B13:B14"/>
    <mergeCell ref="E13:E14"/>
    <mergeCell ref="B7:B8"/>
    <mergeCell ref="B11:B12"/>
    <mergeCell ref="E7:E8"/>
    <mergeCell ref="B3:E3"/>
    <mergeCell ref="B16:B17"/>
    <mergeCell ref="E16:E17"/>
    <mergeCell ref="E11:E12"/>
    <mergeCell ref="B2:D2"/>
  </mergeCells>
  <conditionalFormatting sqref="E7:E8">
    <cfRule type="expression" priority="1" dxfId="0">
      <formula>COUNTIF($C$7:$C$8,"✔")=2</formula>
    </cfRule>
  </conditionalFormatting>
  <conditionalFormatting sqref="E9:E10">
    <cfRule type="expression" priority="2" dxfId="0">
      <formula>COUNTIF($C$9:$C$10,"✔")=2</formula>
    </cfRule>
  </conditionalFormatting>
  <conditionalFormatting sqref="E11:E12">
    <cfRule type="expression" priority="3" dxfId="0">
      <formula>COUNTIF($C$11:$C$12,"✔")=2</formula>
    </cfRule>
  </conditionalFormatting>
  <conditionalFormatting sqref="E13:E14">
    <cfRule type="expression" priority="4" dxfId="0">
      <formula>COUNTIF($C$13:$C$14,"✔")=2</formula>
    </cfRule>
  </conditionalFormatting>
  <conditionalFormatting sqref="E15">
    <cfRule type="expression" priority="5" dxfId="0">
      <formula>COUNTIF($C$15:$C$15,"✔")=1</formula>
    </cfRule>
  </conditionalFormatting>
  <conditionalFormatting sqref="E16:E17">
    <cfRule type="expression" priority="6" dxfId="0">
      <formula>COUNTIF($C$16:$C$17,"✔")=2</formula>
    </cfRule>
  </conditionalFormatting>
  <dataValidations count="1">
    <dataValidation sqref="C7 C8 C9 C10 C11 C12 C13 C14 C15 C16 C17" showDropDown="0" showInputMessage="0" showErrorMessage="0" allowBlank="1" type="list">
      <formula1>"✔"</formula1>
    </dataValidation>
  </dataValidations>
  <hyperlinks>
    <hyperlink xmlns:r="http://schemas.openxmlformats.org/officeDocument/2006/relationships" ref="B1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B07D12"/>
    <outlinePr summaryBelow="1" summaryRight="1"/>
    <pageSetUpPr/>
  </sheetPr>
  <dimension ref="B1:M11"/>
  <sheetViews>
    <sheetView workbookViewId="0">
      <selection activeCell="A1" sqref="A1"/>
    </sheetView>
  </sheetViews>
  <sheetFormatPr baseColWidth="8" defaultRowHeight="15"/>
  <cols>
    <col width="3" customWidth="1" min="1" max="1"/>
    <col width="27" customWidth="1" min="2" max="2"/>
    <col width="6" customWidth="1" min="3" max="3"/>
    <col width="95" customWidth="1" min="4" max="4"/>
    <col width="16" customWidth="1" min="5" max="5"/>
    <col hidden="1" width="13" customWidth="1" min="7" max="7"/>
    <col hidden="1" width="3" customWidth="1" min="8" max="8"/>
    <col hidden="1" width="3" customWidth="1" min="9" max="9"/>
    <col hidden="1" width="3" customWidth="1" min="10" max="10"/>
    <col hidden="1" width="3" customWidth="1" min="11" max="11"/>
    <col hidden="1" width="3" customWidth="1" min="13" max="13"/>
  </cols>
  <sheetData>
    <row r="1" ht="15" customHeight="1">
      <c r="B1" s="25" t="inlineStr">
        <is>
          <t>← Dashboard</t>
        </is>
      </c>
      <c r="M1">
        <f>SUM(H7:H11)</f>
        <v/>
      </c>
    </row>
    <row r="2" ht="39.75" customHeight="1">
      <c r="B2" s="51" t="inlineStr">
        <is>
          <t>Architecture Decisions</t>
        </is>
      </c>
      <c r="E2" s="37" t="inlineStr">
        <is>
          <t>SOLUTION</t>
        </is>
      </c>
      <c r="M2">
        <f>SUM(I7:I11)</f>
        <v/>
      </c>
    </row>
    <row r="3" ht="31.5" customHeight="1">
      <c r="B3" s="38" t="inlineStr">
        <is>
          <t>De significante, moeilijk terug te draaien keuzes die de architectuur vormen.</t>
        </is>
      </c>
      <c r="M3">
        <f>SUM(K7:K11)</f>
        <v/>
      </c>
    </row>
    <row r="4" ht="13.5" customHeight="1">
      <c r="B4" s="39" t="inlineStr">
        <is>
          <t>HUIDIGE TOESTAND</t>
        </is>
      </c>
      <c r="C4" s="39" t="inlineStr">
        <is>
          <t>VOORTGANG</t>
        </is>
      </c>
      <c r="D4" s="39" t="inlineStr">
        <is>
          <t>TOESTANDEN BEREIKT</t>
        </is>
      </c>
      <c r="E4" s="39" t="inlineStr">
        <is>
          <t>EIGENAAR · GEBIED</t>
        </is>
      </c>
      <c r="M4">
        <f>SUM(J7:J11)</f>
        <v/>
      </c>
    </row>
    <row r="5" ht="25.5" customHeight="1">
      <c r="B5" s="52">
        <f>IF(M3=0,"Niet gestart",INDEX(G7:G11,M3))</f>
        <v/>
      </c>
      <c r="C5" s="53">
        <f>IF(M2=0,0,M1/M2)</f>
        <v/>
      </c>
      <c r="D5" s="52">
        <f>M4&amp;" / "&amp;5</f>
        <v/>
      </c>
      <c r="E5" s="54" t="inlineStr">
        <is>
          <t>MVA · SOL</t>
        </is>
      </c>
    </row>
    <row r="6" ht="19.5" customHeight="1">
      <c r="B6" s="9" t="inlineStr">
        <is>
          <t>TOESTAND</t>
        </is>
      </c>
      <c r="C6" s="43" t="inlineStr">
        <is>
          <t>✔</t>
        </is>
      </c>
      <c r="D6" s="9" t="inlineStr">
        <is>
          <t>CHECKLISTPUNT</t>
        </is>
      </c>
      <c r="E6" s="9" t="inlineStr">
        <is>
          <t>TOESTANDSSTATUS</t>
        </is>
      </c>
    </row>
    <row r="7" ht="21" customHeight="1">
      <c r="B7" s="55" t="inlineStr">
        <is>
          <t>1. Needed</t>
        </is>
      </c>
      <c r="C7" s="45" t="inlineStr">
        <is>
          <t>✔</t>
        </is>
      </c>
      <c r="D7" s="46" t="inlineStr">
        <is>
          <t>Een significant, moeilijk terug te draaien beslissingspunt is herkend en eigendom aangewezen.</t>
        </is>
      </c>
      <c r="E7" s="47">
        <f>COUNTIF(C7:C7,"✔")&amp;" / 1"</f>
        <v/>
      </c>
      <c r="G7" t="inlineStr">
        <is>
          <t>Needed</t>
        </is>
      </c>
      <c r="H7">
        <f>COUNTIF(C7:C7,"✔")</f>
        <v/>
      </c>
      <c r="I7" t="n">
        <v>1</v>
      </c>
      <c r="J7">
        <f>IF(H7=I7,1,0)</f>
        <v/>
      </c>
      <c r="K7">
        <f>J7</f>
        <v/>
      </c>
    </row>
    <row r="8" ht="21" customHeight="1">
      <c r="B8" s="55" t="inlineStr">
        <is>
          <t>2. Framed</t>
        </is>
      </c>
      <c r="C8" s="49" t="inlineStr">
        <is>
          <t>✔</t>
        </is>
      </c>
      <c r="D8" s="50" t="inlineStr">
        <is>
          <t>De opties, afwegingen en het laatste verantwoorde moment zijn begrepen.</t>
        </is>
      </c>
      <c r="E8" s="47">
        <f>COUNTIF(C8:C8,"✔")&amp;" / 1"</f>
        <v/>
      </c>
      <c r="G8" t="inlineStr">
        <is>
          <t>Framed</t>
        </is>
      </c>
      <c r="H8">
        <f>COUNTIF(C8:C8,"✔")</f>
        <v/>
      </c>
      <c r="I8" t="n">
        <v>1</v>
      </c>
      <c r="J8">
        <f>IF(H8=I8,1,0)</f>
        <v/>
      </c>
      <c r="K8">
        <f>J8*K7</f>
        <v/>
      </c>
    </row>
    <row r="9" ht="21" customHeight="1">
      <c r="B9" s="55" t="inlineStr">
        <is>
          <t>3. Decided</t>
        </is>
      </c>
      <c r="C9" s="45" t="inlineStr">
        <is>
          <t>✔</t>
        </is>
      </c>
      <c r="D9" s="46" t="inlineStr">
        <is>
          <t>De keuze is gemaakt en vastgelegd met onderbouwing en consequenties (ADR).</t>
        </is>
      </c>
      <c r="E9" s="47">
        <f>COUNTIF(C9:C9,"✔")&amp;" / 1"</f>
        <v/>
      </c>
      <c r="G9" t="inlineStr">
        <is>
          <t>Decided</t>
        </is>
      </c>
      <c r="H9">
        <f>COUNTIF(C9:C9,"✔")</f>
        <v/>
      </c>
      <c r="I9" t="n">
        <v>1</v>
      </c>
      <c r="J9">
        <f>IF(H9=I9,1,0)</f>
        <v/>
      </c>
      <c r="K9">
        <f>J9*K8</f>
        <v/>
      </c>
    </row>
    <row r="10" ht="21" customHeight="1">
      <c r="B10" s="55" t="inlineStr">
        <is>
          <t>4. Communicated</t>
        </is>
      </c>
      <c r="C10" s="49" t="inlineStr">
        <is>
          <t>✔</t>
        </is>
      </c>
      <c r="D10" s="50" t="inlineStr">
        <is>
          <t>De beslissing is bekend en geaccepteerd door degenen die het beïnvloedt.</t>
        </is>
      </c>
      <c r="E10" s="47">
        <f>COUNTIF(C10:C10,"✔")&amp;" / 1"</f>
        <v/>
      </c>
      <c r="G10" t="inlineStr">
        <is>
          <t>Communicated</t>
        </is>
      </c>
      <c r="H10">
        <f>COUNTIF(C10:C10,"✔")</f>
        <v/>
      </c>
      <c r="I10" t="n">
        <v>1</v>
      </c>
      <c r="J10">
        <f>IF(H10=I10,1,0)</f>
        <v/>
      </c>
      <c r="K10">
        <f>J10*K9</f>
        <v/>
      </c>
    </row>
    <row r="11" ht="21" customHeight="1">
      <c r="B11" s="55" t="inlineStr">
        <is>
          <t>5. Validated</t>
        </is>
      </c>
      <c r="C11" s="45" t="inlineStr"/>
      <c r="D11" s="46" t="inlineStr">
        <is>
          <t>De beslissing is bewezen door bewijs en uitkomst, of herzien.</t>
        </is>
      </c>
      <c r="E11" s="47">
        <f>COUNTIF(C11:C11,"✔")&amp;" / 1"</f>
        <v/>
      </c>
      <c r="G11" t="inlineStr">
        <is>
          <t>Validated</t>
        </is>
      </c>
      <c r="H11">
        <f>COUNTIF(C11:C11,"✔")</f>
        <v/>
      </c>
      <c r="I11" t="n">
        <v>1</v>
      </c>
      <c r="J11">
        <f>IF(H11=I11,1,0)</f>
        <v/>
      </c>
      <c r="K11">
        <f>J11*K10</f>
        <v/>
      </c>
    </row>
  </sheetData>
  <mergeCells count="2">
    <mergeCell ref="B2:D2"/>
    <mergeCell ref="B3:E3"/>
  </mergeCells>
  <conditionalFormatting sqref="E7">
    <cfRule type="expression" priority="1" dxfId="0">
      <formula>COUNTIF($C$7:$C$7,"✔")=1</formula>
    </cfRule>
  </conditionalFormatting>
  <conditionalFormatting sqref="E8">
    <cfRule type="expression" priority="2" dxfId="0">
      <formula>COUNTIF($C$8:$C$8,"✔")=1</formula>
    </cfRule>
  </conditionalFormatting>
  <conditionalFormatting sqref="E9">
    <cfRule type="expression" priority="3" dxfId="0">
      <formula>COUNTIF($C$9:$C$9,"✔")=1</formula>
    </cfRule>
  </conditionalFormatting>
  <conditionalFormatting sqref="E10">
    <cfRule type="expression" priority="4" dxfId="0">
      <formula>COUNTIF($C$10:$C$10,"✔")=1</formula>
    </cfRule>
  </conditionalFormatting>
  <conditionalFormatting sqref="E11">
    <cfRule type="expression" priority="5" dxfId="0">
      <formula>COUNTIF($C$11:$C$11,"✔")=1</formula>
    </cfRule>
  </conditionalFormatting>
  <dataValidations count="1">
    <dataValidation sqref="C7 C8 C9 C10 C11" showDropDown="0" showInputMessage="0" showErrorMessage="0" allowBlank="1" type="list">
      <formula1>"✔"</formula1>
    </dataValidation>
  </dataValidations>
  <hyperlinks>
    <hyperlink xmlns:r="http://schemas.openxmlformats.org/officeDocument/2006/relationships" ref="B1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B07D12"/>
    <outlinePr summaryBelow="1" summaryRight="1"/>
    <pageSetUpPr/>
  </sheetPr>
  <dimension ref="B1:M16"/>
  <sheetViews>
    <sheetView workbookViewId="0">
      <selection activeCell="A1" sqref="A1"/>
    </sheetView>
  </sheetViews>
  <sheetFormatPr baseColWidth="8" defaultRowHeight="15"/>
  <cols>
    <col width="3" customWidth="1" min="1" max="1"/>
    <col width="27" customWidth="1" min="2" max="2"/>
    <col width="6" customWidth="1" min="3" max="3"/>
    <col width="95" customWidth="1" min="4" max="4"/>
    <col width="16" customWidth="1" min="5" max="5"/>
    <col hidden="1" width="13" customWidth="1" min="7" max="7"/>
    <col hidden="1" width="3" customWidth="1" min="8" max="8"/>
    <col hidden="1" width="3" customWidth="1" min="9" max="9"/>
    <col hidden="1" width="3" customWidth="1" min="10" max="10"/>
    <col hidden="1" width="3" customWidth="1" min="11" max="11"/>
    <col hidden="1" width="3" customWidth="1" min="13" max="13"/>
  </cols>
  <sheetData>
    <row r="1" ht="15" customHeight="1">
      <c r="B1" s="25" t="inlineStr">
        <is>
          <t>← Dashboard</t>
        </is>
      </c>
      <c r="M1">
        <f>SUM(H7:H11)</f>
        <v/>
      </c>
    </row>
    <row r="2" ht="39.75" customHeight="1">
      <c r="B2" s="51" t="inlineStr">
        <is>
          <t>Paved Road</t>
        </is>
      </c>
      <c r="E2" s="56" t="inlineStr">
        <is>
          <t>ENTERPRISE</t>
        </is>
      </c>
      <c r="M2">
        <f>SUM(I7:I11)</f>
        <v/>
      </c>
    </row>
    <row r="3" ht="31.5" customHeight="1">
      <c r="B3" s="38" t="inlineStr">
        <is>
          <t>Het herbruikbare servicechassis van goedgekeurde producten, patronen en standaarden dat de conforme keuze de gemakkelijke maakt.</t>
        </is>
      </c>
      <c r="M3">
        <f>SUM(K7:K11)</f>
        <v/>
      </c>
    </row>
    <row r="4" ht="13.5" customHeight="1">
      <c r="B4" s="39" t="inlineStr">
        <is>
          <t>HUIDIGE TOESTAND</t>
        </is>
      </c>
      <c r="C4" s="39" t="inlineStr">
        <is>
          <t>VOORTGANG</t>
        </is>
      </c>
      <c r="D4" s="39" t="inlineStr">
        <is>
          <t>TOESTANDEN BEREIKT</t>
        </is>
      </c>
      <c r="E4" s="39" t="inlineStr">
        <is>
          <t>EIGENAAR · GEBIED</t>
        </is>
      </c>
      <c r="M4">
        <f>SUM(J7:J11)</f>
        <v/>
      </c>
    </row>
    <row r="5" ht="25.5" customHeight="1">
      <c r="B5" s="52">
        <f>IF(M3=0,"Niet gestart",INDEX(G7:G11,M3))</f>
        <v/>
      </c>
      <c r="C5" s="53">
        <f>IF(M2=0,0,M1/M2)</f>
        <v/>
      </c>
      <c r="D5" s="52">
        <f>M4&amp;" / "&amp;5</f>
        <v/>
      </c>
      <c r="E5" s="54" t="inlineStr">
        <is>
          <t>MVA · SOL</t>
        </is>
      </c>
    </row>
    <row r="6" ht="19.5" customHeight="1">
      <c r="B6" s="9" t="inlineStr">
        <is>
          <t>TOESTAND</t>
        </is>
      </c>
      <c r="C6" s="43" t="inlineStr">
        <is>
          <t>✔</t>
        </is>
      </c>
      <c r="D6" s="9" t="inlineStr">
        <is>
          <t>CHECKLISTPUNT</t>
        </is>
      </c>
      <c r="E6" s="9" t="inlineStr">
        <is>
          <t>TOESTANDSSTATUS</t>
        </is>
      </c>
    </row>
    <row r="7" ht="21" customHeight="1">
      <c r="B7" s="55" t="inlineStr">
        <is>
          <t>1. Seeded</t>
        </is>
      </c>
      <c r="C7" s="45" t="inlineStr">
        <is>
          <t>✔</t>
        </is>
      </c>
      <c r="D7" s="46" t="inlineStr">
        <is>
          <t>De behoefte aan een paved road is erkend.</t>
        </is>
      </c>
      <c r="E7" s="47">
        <f>COUNTIF(C7:C8,"✔")&amp;" / 2"</f>
        <v/>
      </c>
      <c r="G7" t="inlineStr">
        <is>
          <t>Seeded</t>
        </is>
      </c>
      <c r="H7">
        <f>COUNTIF(C7:C8,"✔")</f>
        <v/>
      </c>
      <c r="I7" t="n">
        <v>2</v>
      </c>
      <c r="J7">
        <f>IF(H7=I7,1,0)</f>
        <v/>
      </c>
      <c r="K7">
        <f>J7</f>
        <v/>
      </c>
    </row>
    <row r="8" ht="21" customHeight="1">
      <c r="B8" s="48" t="n"/>
      <c r="C8" s="49" t="inlineStr">
        <is>
          <t>✔</t>
        </is>
      </c>
      <c r="D8" s="50" t="inlineStr">
        <is>
          <t>Een eerste goedgekeurde standaard of twee bestaat.</t>
        </is>
      </c>
      <c r="G8" t="inlineStr">
        <is>
          <t>Established</t>
        </is>
      </c>
      <c r="H8">
        <f>COUNTIF(C9:C10,"✔")</f>
        <v/>
      </c>
      <c r="I8" t="n">
        <v>2</v>
      </c>
      <c r="J8">
        <f>IF(H8=I8,1,0)</f>
        <v/>
      </c>
      <c r="K8">
        <f>J8*K7</f>
        <v/>
      </c>
    </row>
    <row r="9" ht="21" customHeight="1">
      <c r="B9" s="55" t="inlineStr">
        <is>
          <t>2. Established</t>
        </is>
      </c>
      <c r="C9" s="45" t="inlineStr">
        <is>
          <t>✔</t>
        </is>
      </c>
      <c r="D9" s="46" t="inlineStr">
        <is>
          <t>Een coherent servicechassis van goedgekeurde producten, patronen en standaarden is gepubliceerd.</t>
        </is>
      </c>
      <c r="E9" s="47">
        <f>COUNTIF(C9:C10,"✔")&amp;" / 2"</f>
        <v/>
      </c>
      <c r="G9" t="inlineStr">
        <is>
          <t>Adopted</t>
        </is>
      </c>
      <c r="H9">
        <f>COUNTIF(C11:C12,"✔")</f>
        <v/>
      </c>
      <c r="I9" t="n">
        <v>2</v>
      </c>
      <c r="J9">
        <f>IF(H9=I9,1,0)</f>
        <v/>
      </c>
      <c r="K9">
        <f>J9*K8</f>
        <v/>
      </c>
    </row>
    <row r="10" ht="21" customHeight="1">
      <c r="B10" s="48" t="n"/>
      <c r="C10" s="49" t="inlineStr">
        <is>
          <t>✔</t>
        </is>
      </c>
      <c r="D10" s="50" t="inlineStr">
        <is>
          <t>De paved road is zelfbedienbaar.</t>
        </is>
      </c>
      <c r="G10" t="inlineStr">
        <is>
          <t>Pervasive</t>
        </is>
      </c>
      <c r="H10">
        <f>COUNTIF(C13:C14,"✔")</f>
        <v/>
      </c>
      <c r="I10" t="n">
        <v>2</v>
      </c>
      <c r="J10">
        <f>IF(H10=I10,1,0)</f>
        <v/>
      </c>
      <c r="K10">
        <f>J10*K9</f>
        <v/>
      </c>
    </row>
    <row r="11" ht="21" customHeight="1">
      <c r="B11" s="55" t="inlineStr">
        <is>
          <t>3. Adopted</t>
        </is>
      </c>
      <c r="C11" s="45" t="inlineStr">
        <is>
          <t>✔</t>
        </is>
      </c>
      <c r="D11" s="46" t="inlineStr">
        <is>
          <t>Teams bouwen standaard op de paved road.</t>
        </is>
      </c>
      <c r="E11" s="47">
        <f>COUNTIF(C11:C12,"✔")&amp;" / 2"</f>
        <v/>
      </c>
      <c r="G11" t="inlineStr">
        <is>
          <t>Evolving</t>
        </is>
      </c>
      <c r="H11">
        <f>COUNTIF(C15:C16,"✔")</f>
        <v/>
      </c>
      <c r="I11" t="n">
        <v>2</v>
      </c>
      <c r="J11">
        <f>IF(H11=I11,1,0)</f>
        <v/>
      </c>
      <c r="K11">
        <f>J11*K10</f>
        <v/>
      </c>
    </row>
    <row r="12" ht="21" customHeight="1">
      <c r="B12" s="48" t="n"/>
      <c r="C12" s="49" t="inlineStr"/>
      <c r="D12" s="50" t="inlineStr">
        <is>
          <t>On-road keuzes hebben geen beoordeling nodig.</t>
        </is>
      </c>
    </row>
    <row r="13" ht="21" customHeight="1">
      <c r="B13" s="55" t="inlineStr">
        <is>
          <t>4. Pervasive</t>
        </is>
      </c>
      <c r="C13" s="45" t="inlineStr"/>
      <c r="D13" s="46" t="inlineStr">
        <is>
          <t>De paved road is de norm over het landgoed.</t>
        </is>
      </c>
      <c r="E13" s="47">
        <f>COUNTIF(C13:C14,"✔")&amp;" / 2"</f>
        <v/>
      </c>
    </row>
    <row r="14" ht="21" customHeight="1">
      <c r="B14" s="48" t="n"/>
      <c r="C14" s="49" t="inlineStr"/>
      <c r="D14" s="50" t="inlineStr">
        <is>
          <t>Off-road gaan is de zeldzame, gerechtvaardige uitzondering.</t>
        </is>
      </c>
    </row>
    <row r="15" ht="21" customHeight="1">
      <c r="B15" s="55" t="inlineStr">
        <is>
          <t>5. Evolving</t>
        </is>
      </c>
      <c r="C15" s="45" t="inlineStr"/>
      <c r="D15" s="46" t="inlineStr">
        <is>
          <t>De paved road wordt continu verbreed en gesnoeid.</t>
        </is>
      </c>
      <c r="E15" s="47">
        <f>COUNTIF(C15:C16,"✔")&amp;" / 2"</f>
        <v/>
      </c>
    </row>
    <row r="16" ht="21" customHeight="1">
      <c r="B16" s="48" t="n"/>
      <c r="C16" s="49" t="inlineStr"/>
      <c r="D16" s="50" t="inlineStr">
        <is>
          <t>Lessen uit beoordelingen worden teruggekoppeld.</t>
        </is>
      </c>
    </row>
  </sheetData>
  <mergeCells count="12">
    <mergeCell ref="B9:B10"/>
    <mergeCell ref="E9:E10"/>
    <mergeCell ref="B13:B14"/>
    <mergeCell ref="E13:E14"/>
    <mergeCell ref="B7:B8"/>
    <mergeCell ref="B11:B12"/>
    <mergeCell ref="E7:E8"/>
    <mergeCell ref="E15:E16"/>
    <mergeCell ref="B3:E3"/>
    <mergeCell ref="E11:E12"/>
    <mergeCell ref="B2:D2"/>
    <mergeCell ref="B15:B16"/>
  </mergeCells>
  <conditionalFormatting sqref="E7:E8">
    <cfRule type="expression" priority="1" dxfId="0">
      <formula>COUNTIF($C$7:$C$8,"✔")=2</formula>
    </cfRule>
  </conditionalFormatting>
  <conditionalFormatting sqref="E9:E10">
    <cfRule type="expression" priority="2" dxfId="0">
      <formula>COUNTIF($C$9:$C$10,"✔")=2</formula>
    </cfRule>
  </conditionalFormatting>
  <conditionalFormatting sqref="E11:E12">
    <cfRule type="expression" priority="3" dxfId="0">
      <formula>COUNTIF($C$11:$C$12,"✔")=2</formula>
    </cfRule>
  </conditionalFormatting>
  <conditionalFormatting sqref="E13:E14">
    <cfRule type="expression" priority="4" dxfId="0">
      <formula>COUNTIF($C$13:$C$14,"✔")=2</formula>
    </cfRule>
  </conditionalFormatting>
  <conditionalFormatting sqref="E15:E16">
    <cfRule type="expression" priority="5" dxfId="0">
      <formula>COUNTIF($C$15:$C$16,"✔")=2</formula>
    </cfRule>
  </conditionalFormatting>
  <dataValidations count="1">
    <dataValidation sqref="C7 C8 C9 C10 C11 C12 C13 C14 C15 C16" showDropDown="0" showInputMessage="0" showErrorMessage="0" allowBlank="1" type="list">
      <formula1>"✔"</formula1>
    </dataValidation>
  </dataValidations>
  <hyperlinks>
    <hyperlink xmlns:r="http://schemas.openxmlformats.org/officeDocument/2006/relationships" ref="B1" r:id="rId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2A5E9C"/>
    <outlinePr summaryBelow="1" summaryRight="1"/>
    <pageSetUpPr/>
  </sheetPr>
  <dimension ref="B1:M25"/>
  <sheetViews>
    <sheetView workbookViewId="0">
      <selection activeCell="A1" sqref="A1"/>
    </sheetView>
  </sheetViews>
  <sheetFormatPr baseColWidth="8" defaultRowHeight="15"/>
  <cols>
    <col width="3" customWidth="1" min="1" max="1"/>
    <col width="27" customWidth="1" min="2" max="2"/>
    <col width="6" customWidth="1" min="3" max="3"/>
    <col width="95" customWidth="1" min="4" max="4"/>
    <col width="16" customWidth="1" min="5" max="5"/>
    <col hidden="1" width="13" customWidth="1" min="7" max="7"/>
    <col hidden="1" width="3" customWidth="1" min="8" max="8"/>
    <col hidden="1" width="3" customWidth="1" min="9" max="9"/>
    <col hidden="1" width="3" customWidth="1" min="10" max="10"/>
    <col hidden="1" width="3" customWidth="1" min="11" max="11"/>
    <col hidden="1" width="3" customWidth="1" min="13" max="13"/>
  </cols>
  <sheetData>
    <row r="1" ht="15" customHeight="1">
      <c r="B1" s="25" t="inlineStr">
        <is>
          <t>← Dashboard</t>
        </is>
      </c>
      <c r="M1">
        <f>SUM(H7:H12)</f>
        <v/>
      </c>
    </row>
    <row r="2" ht="39.75" customHeight="1">
      <c r="B2" s="36" t="inlineStr">
        <is>
          <t>Work</t>
        </is>
      </c>
      <c r="E2" s="37" t="inlineStr">
        <is>
          <t>SOLUTION</t>
        </is>
      </c>
      <c r="M2">
        <f>SUM(I7:I12)</f>
        <v/>
      </c>
    </row>
    <row r="3" ht="31.5" customHeight="1">
      <c r="B3" s="38" t="inlineStr">
        <is>
          <t>De activiteit en inspanning die worden ingezet om het resultaat te produceren.</t>
        </is>
      </c>
      <c r="M3">
        <f>SUM(K7:K12)</f>
        <v/>
      </c>
    </row>
    <row r="4" ht="13.5" customHeight="1">
      <c r="B4" s="39" t="inlineStr">
        <is>
          <t>HUIDIGE TOESTAND</t>
        </is>
      </c>
      <c r="C4" s="39" t="inlineStr">
        <is>
          <t>VOORTGANG</t>
        </is>
      </c>
      <c r="D4" s="39" t="inlineStr">
        <is>
          <t>TOESTANDEN BEREIKT</t>
        </is>
      </c>
      <c r="E4" s="39" t="inlineStr">
        <is>
          <t>EIGENAAR · GEBIED</t>
        </is>
      </c>
      <c r="M4">
        <f>SUM(J7:J12)</f>
        <v/>
      </c>
    </row>
    <row r="5" ht="25.5" customHeight="1">
      <c r="B5" s="40">
        <f>IF(M3=0,"Niet gestart",INDEX(G7:G12,M3))</f>
        <v/>
      </c>
      <c r="C5" s="41">
        <f>IF(M2=0,0,M1/M2)</f>
        <v/>
      </c>
      <c r="D5" s="40">
        <f>M4&amp;" / "&amp;6</f>
        <v/>
      </c>
      <c r="E5" s="42" t="inlineStr">
        <is>
          <t>Kernel · END</t>
        </is>
      </c>
    </row>
    <row r="6" ht="19.5" customHeight="1">
      <c r="B6" s="9" t="inlineStr">
        <is>
          <t>TOESTAND</t>
        </is>
      </c>
      <c r="C6" s="43" t="inlineStr">
        <is>
          <t>✔</t>
        </is>
      </c>
      <c r="D6" s="9" t="inlineStr">
        <is>
          <t>CHECKLISTPUNT</t>
        </is>
      </c>
      <c r="E6" s="9" t="inlineStr">
        <is>
          <t>TOESTANDSSTATUS</t>
        </is>
      </c>
    </row>
    <row r="7" ht="21" customHeight="1">
      <c r="B7" s="44" t="inlineStr">
        <is>
          <t>1. Initiated</t>
        </is>
      </c>
      <c r="C7" s="45" t="inlineStr">
        <is>
          <t>✔</t>
        </is>
      </c>
      <c r="D7" s="46" t="inlineStr">
        <is>
          <t>De beperkingen en financieringscontext zijn duidelijk.</t>
        </is>
      </c>
      <c r="E7" s="47">
        <f>COUNTIF(C7:C10,"✔")&amp;" / 4"</f>
        <v/>
      </c>
      <c r="G7" t="inlineStr">
        <is>
          <t>Initiated</t>
        </is>
      </c>
      <c r="H7">
        <f>COUNTIF(C7:C10,"✔")</f>
        <v/>
      </c>
      <c r="I7" t="n">
        <v>4</v>
      </c>
      <c r="J7">
        <f>IF(H7=I7,1,0)</f>
        <v/>
      </c>
      <c r="K7">
        <f>J7</f>
        <v/>
      </c>
    </row>
    <row r="8" ht="21" customHeight="1">
      <c r="B8" s="48" t="n"/>
      <c r="C8" s="49" t="inlineStr">
        <is>
          <t>✔</t>
        </is>
      </c>
      <c r="D8" s="50" t="inlineStr">
        <is>
          <t>De sponsors zijn geïdentificeerd.</t>
        </is>
      </c>
      <c r="G8" t="inlineStr">
        <is>
          <t>Prepared</t>
        </is>
      </c>
      <c r="H8">
        <f>COUNTIF(C11:C15,"✔")</f>
        <v/>
      </c>
      <c r="I8" t="n">
        <v>5</v>
      </c>
      <c r="J8">
        <f>IF(H8=I8,1,0)</f>
        <v/>
      </c>
      <c r="K8">
        <f>J8*K7</f>
        <v/>
      </c>
    </row>
    <row r="9" ht="21" customHeight="1">
      <c r="B9" s="48" t="n"/>
      <c r="C9" s="45" t="inlineStr">
        <is>
          <t>✔</t>
        </is>
      </c>
      <c r="D9" s="46" t="inlineStr">
        <is>
          <t>De prioriteit is duidelijk.</t>
        </is>
      </c>
      <c r="G9" t="inlineStr">
        <is>
          <t>Started</t>
        </is>
      </c>
      <c r="H9">
        <f>COUNTIF(C16:C18,"✔")</f>
        <v/>
      </c>
      <c r="I9" t="n">
        <v>3</v>
      </c>
      <c r="J9">
        <f>IF(H9=I9,1,0)</f>
        <v/>
      </c>
      <c r="K9">
        <f>J9*K8</f>
        <v/>
      </c>
    </row>
    <row r="10" ht="21" customHeight="1">
      <c r="B10" s="48" t="n"/>
      <c r="C10" s="49" t="inlineStr">
        <is>
          <t>✔</t>
        </is>
      </c>
      <c r="D10" s="50" t="inlineStr">
        <is>
          <t>Het werk is aangevraagd.</t>
        </is>
      </c>
      <c r="G10" t="inlineStr">
        <is>
          <t>Under Control</t>
        </is>
      </c>
      <c r="H10">
        <f>COUNTIF(C19:C21,"✔")</f>
        <v/>
      </c>
      <c r="I10" t="n">
        <v>3</v>
      </c>
      <c r="J10">
        <f>IF(H10=I10,1,0)</f>
        <v/>
      </c>
      <c r="K10">
        <f>J10*K9</f>
        <v/>
      </c>
    </row>
    <row r="11" ht="21" customHeight="1">
      <c r="B11" s="44" t="inlineStr">
        <is>
          <t>2. Prepared</t>
        </is>
      </c>
      <c r="C11" s="45" t="inlineStr">
        <is>
          <t>✔</t>
        </is>
      </c>
      <c r="D11" s="46" t="inlineStr">
        <is>
          <t>Een geloofwaardig plan en schatting zijn aanwezig.</t>
        </is>
      </c>
      <c r="E11" s="47">
        <f>COUNTIF(C11:C15,"✔")&amp;" / 5"</f>
        <v/>
      </c>
      <c r="G11" t="inlineStr">
        <is>
          <t>Concluded</t>
        </is>
      </c>
      <c r="H11">
        <f>COUNTIF(C22:C23,"✔")</f>
        <v/>
      </c>
      <c r="I11" t="n">
        <v>2</v>
      </c>
      <c r="J11">
        <f>IF(H11=I11,1,0)</f>
        <v/>
      </c>
      <c r="K11">
        <f>J11*K10</f>
        <v/>
      </c>
    </row>
    <row r="12" ht="21" customHeight="1">
      <c r="B12" s="48" t="n"/>
      <c r="C12" s="49" t="inlineStr">
        <is>
          <t>✔</t>
        </is>
      </c>
      <c r="D12" s="50" t="inlineStr">
        <is>
          <t>Financiering en middelen zijn toegezegd.</t>
        </is>
      </c>
      <c r="G12" t="inlineStr">
        <is>
          <t>Closed</t>
        </is>
      </c>
      <c r="H12">
        <f>COUNTIF(C24:C25,"✔")</f>
        <v/>
      </c>
      <c r="I12" t="n">
        <v>2</v>
      </c>
      <c r="J12">
        <f>IF(H12=I12,1,0)</f>
        <v/>
      </c>
      <c r="K12">
        <f>J12*K11</f>
        <v/>
      </c>
    </row>
    <row r="13" ht="21" customHeight="1">
      <c r="B13" s="48" t="n"/>
      <c r="C13" s="45" t="inlineStr">
        <is>
          <t>✔</t>
        </is>
      </c>
      <c r="D13" s="46" t="inlineStr">
        <is>
          <t>Sleutelrisico's zijn geïdentificeerd en worden aangepakt.</t>
        </is>
      </c>
    </row>
    <row r="14" ht="21" customHeight="1">
      <c r="B14" s="48" t="n"/>
      <c r="C14" s="49" t="inlineStr">
        <is>
          <t>✔</t>
        </is>
      </c>
      <c r="D14" s="50" t="inlineStr">
        <is>
          <t>De succescriteria zijn overeengekomen.</t>
        </is>
      </c>
    </row>
    <row r="15" ht="21" customHeight="1">
      <c r="B15" s="48" t="n"/>
      <c r="C15" s="45" t="inlineStr">
        <is>
          <t>✔</t>
        </is>
      </c>
      <c r="D15" s="46" t="inlineStr">
        <is>
          <t>Governance en de manier van werken zijn aanwezig.</t>
        </is>
      </c>
    </row>
    <row r="16" ht="21" customHeight="1">
      <c r="B16" s="44" t="inlineStr">
        <is>
          <t>3. Started</t>
        </is>
      </c>
      <c r="C16" s="49" t="inlineStr">
        <is>
          <t>✔</t>
        </is>
      </c>
      <c r="D16" s="50" t="inlineStr">
        <is>
          <t>Het werk is begonnen en voortgang wordt bewaakt.</t>
        </is>
      </c>
      <c r="E16" s="47">
        <f>COUNTIF(C16:C18,"✔")&amp;" / 3"</f>
        <v/>
      </c>
    </row>
    <row r="17" ht="21" customHeight="1">
      <c r="B17" s="48" t="n"/>
      <c r="C17" s="45" t="inlineStr">
        <is>
          <t>✔</t>
        </is>
      </c>
      <c r="D17" s="46" t="inlineStr">
        <is>
          <t>Het team voert het werk uit.</t>
        </is>
      </c>
    </row>
    <row r="18" ht="21" customHeight="1">
      <c r="B18" s="48" t="n"/>
      <c r="C18" s="49" t="inlineStr"/>
      <c r="D18" s="50" t="inlineStr">
        <is>
          <t>Taken worden afgerond.</t>
        </is>
      </c>
    </row>
    <row r="19" ht="21" customHeight="1">
      <c r="B19" s="44" t="inlineStr">
        <is>
          <t>4. Under Control</t>
        </is>
      </c>
      <c r="C19" s="45" t="inlineStr"/>
      <c r="D19" s="46" t="inlineStr">
        <is>
          <t>Taken worden afgerond en risico's zijn onder controle.</t>
        </is>
      </c>
      <c r="E19" s="47">
        <f>COUNTIF(C19:C21,"✔")&amp;" / 3"</f>
        <v/>
      </c>
    </row>
    <row r="20" ht="21" customHeight="1">
      <c r="B20" s="48" t="n"/>
      <c r="C20" s="49" t="inlineStr"/>
      <c r="D20" s="50" t="inlineStr">
        <is>
          <t>Schattingen worden bijgewerkt en herwerk is onder controle.</t>
        </is>
      </c>
    </row>
    <row r="21" ht="21" customHeight="1">
      <c r="B21" s="48" t="n"/>
      <c r="C21" s="45" t="inlineStr"/>
      <c r="D21" s="46" t="inlineStr">
        <is>
          <t>Meetgegevens van voortgang en snelheid zijn beschikbaar.</t>
        </is>
      </c>
    </row>
    <row r="22" ht="21" customHeight="1">
      <c r="B22" s="44" t="inlineStr">
        <is>
          <t>5. Concluded</t>
        </is>
      </c>
      <c r="C22" s="49" t="inlineStr"/>
      <c r="D22" s="50" t="inlineStr">
        <is>
          <t>Het werk om de resultaten te produceren is afgerond.</t>
        </is>
      </c>
      <c r="E22" s="47">
        <f>COUNTIF(C22:C23,"✔")&amp;" / 2"</f>
        <v/>
      </c>
    </row>
    <row r="23" ht="21" customHeight="1">
      <c r="B23" s="48" t="n"/>
      <c r="C23" s="45" t="inlineStr"/>
      <c r="D23" s="46" t="inlineStr">
        <is>
          <t>De resultaten zijn bereikt en geaccepteerd door de stakeholders.</t>
        </is>
      </c>
    </row>
    <row r="24" ht="21" customHeight="1">
      <c r="B24" s="44" t="inlineStr">
        <is>
          <t>6. Closed</t>
        </is>
      </c>
      <c r="C24" s="49" t="inlineStr"/>
      <c r="D24" s="50" t="inlineStr">
        <is>
          <t>Alles is gearchiveerd en lessen zijn vastgelegd.</t>
        </is>
      </c>
      <c r="E24" s="47">
        <f>COUNTIF(C24:C25,"✔")&amp;" / 2"</f>
        <v/>
      </c>
    </row>
    <row r="25" ht="21" customHeight="1">
      <c r="B25" s="48" t="n"/>
      <c r="C25" s="45" t="inlineStr"/>
      <c r="D25" s="46" t="inlineStr">
        <is>
          <t>Het budget is afgerekend en het team is vrijgegeven.</t>
        </is>
      </c>
    </row>
  </sheetData>
  <mergeCells count="14">
    <mergeCell ref="B22:B23"/>
    <mergeCell ref="B11:B15"/>
    <mergeCell ref="E16:E18"/>
    <mergeCell ref="B19:B21"/>
    <mergeCell ref="E22:E23"/>
    <mergeCell ref="E11:E15"/>
    <mergeCell ref="E19:E21"/>
    <mergeCell ref="B3:E3"/>
    <mergeCell ref="B7:B10"/>
    <mergeCell ref="B16:B18"/>
    <mergeCell ref="E7:E10"/>
    <mergeCell ref="E24:E25"/>
    <mergeCell ref="B24:B25"/>
    <mergeCell ref="B2:D2"/>
  </mergeCells>
  <conditionalFormatting sqref="E7:E10">
    <cfRule type="expression" priority="1" dxfId="0">
      <formula>COUNTIF($C$7:$C$10,"✔")=4</formula>
    </cfRule>
  </conditionalFormatting>
  <conditionalFormatting sqref="E11:E15">
    <cfRule type="expression" priority="2" dxfId="0">
      <formula>COUNTIF($C$11:$C$15,"✔")=5</formula>
    </cfRule>
  </conditionalFormatting>
  <conditionalFormatting sqref="E16:E18">
    <cfRule type="expression" priority="3" dxfId="0">
      <formula>COUNTIF($C$16:$C$18,"✔")=3</formula>
    </cfRule>
  </conditionalFormatting>
  <conditionalFormatting sqref="E19:E21">
    <cfRule type="expression" priority="4" dxfId="0">
      <formula>COUNTIF($C$19:$C$21,"✔")=3</formula>
    </cfRule>
  </conditionalFormatting>
  <conditionalFormatting sqref="E22:E23">
    <cfRule type="expression" priority="5" dxfId="0">
      <formula>COUNTIF($C$22:$C$23,"✔")=2</formula>
    </cfRule>
  </conditionalFormatting>
  <conditionalFormatting sqref="E24:E25">
    <cfRule type="expression" priority="6" dxfId="0">
      <formula>COUNTIF($C$24:$C$25,"✔")=2</formula>
    </cfRule>
  </conditionalFormatting>
  <dataValidations count="1">
    <dataValidation sqref="C7 C8 C9 C10 C11 C12 C13 C14 C15 C16 C17 C18 C19 C20 C21 C22 C23 C24 C25" showDropDown="0" showInputMessage="0" showErrorMessage="0" allowBlank="1" type="list">
      <formula1>"✔"</formula1>
    </dataValidation>
  </dataValidations>
  <hyperlinks>
    <hyperlink xmlns:r="http://schemas.openxmlformats.org/officeDocument/2006/relationships" ref="B1" r:id="rId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2A5E9C"/>
    <outlinePr summaryBelow="1" summaryRight="1"/>
    <pageSetUpPr/>
  </sheetPr>
  <dimension ref="B1:M23"/>
  <sheetViews>
    <sheetView workbookViewId="0">
      <selection activeCell="A1" sqref="A1"/>
    </sheetView>
  </sheetViews>
  <sheetFormatPr baseColWidth="8" defaultRowHeight="15"/>
  <cols>
    <col width="3" customWidth="1" min="1" max="1"/>
    <col width="27" customWidth="1" min="2" max="2"/>
    <col width="6" customWidth="1" min="3" max="3"/>
    <col width="95" customWidth="1" min="4" max="4"/>
    <col width="16" customWidth="1" min="5" max="5"/>
    <col hidden="1" width="13" customWidth="1" min="7" max="7"/>
    <col hidden="1" width="3" customWidth="1" min="8" max="8"/>
    <col hidden="1" width="3" customWidth="1" min="9" max="9"/>
    <col hidden="1" width="3" customWidth="1" min="10" max="10"/>
    <col hidden="1" width="3" customWidth="1" min="11" max="11"/>
    <col hidden="1" width="3" customWidth="1" min="13" max="13"/>
  </cols>
  <sheetData>
    <row r="1" ht="15" customHeight="1">
      <c r="B1" s="25" t="inlineStr">
        <is>
          <t>← Dashboard</t>
        </is>
      </c>
      <c r="M1">
        <f>SUM(H7:H11)</f>
        <v/>
      </c>
    </row>
    <row r="2" ht="39.75" customHeight="1">
      <c r="B2" s="36" t="inlineStr">
        <is>
          <t>Team</t>
        </is>
      </c>
      <c r="E2" s="37" t="inlineStr">
        <is>
          <t>SOLUTION</t>
        </is>
      </c>
      <c r="M2">
        <f>SUM(I7:I11)</f>
        <v/>
      </c>
    </row>
    <row r="3" ht="31.5" customHeight="1">
      <c r="B3" s="38" t="inlineStr">
        <is>
          <t>De groep die het systeem actief ontwikkelt, onderhoudt en ondersteunt.</t>
        </is>
      </c>
      <c r="M3">
        <f>SUM(K7:K11)</f>
        <v/>
      </c>
    </row>
    <row r="4" ht="13.5" customHeight="1">
      <c r="B4" s="39" t="inlineStr">
        <is>
          <t>HUIDIGE TOESTAND</t>
        </is>
      </c>
      <c r="C4" s="39" t="inlineStr">
        <is>
          <t>VOORTGANG</t>
        </is>
      </c>
      <c r="D4" s="39" t="inlineStr">
        <is>
          <t>TOESTANDEN BEREIKT</t>
        </is>
      </c>
      <c r="E4" s="39" t="inlineStr">
        <is>
          <t>EIGENAAR · GEBIED</t>
        </is>
      </c>
      <c r="M4">
        <f>SUM(J7:J11)</f>
        <v/>
      </c>
    </row>
    <row r="5" ht="25.5" customHeight="1">
      <c r="B5" s="40">
        <f>IF(M3=0,"Niet gestart",INDEX(G7:G11,M3))</f>
        <v/>
      </c>
      <c r="C5" s="41">
        <f>IF(M2=0,0,M1/M2)</f>
        <v/>
      </c>
      <c r="D5" s="40">
        <f>M4&amp;" / "&amp;5</f>
        <v/>
      </c>
      <c r="E5" s="42" t="inlineStr">
        <is>
          <t>Kernel · END</t>
        </is>
      </c>
    </row>
    <row r="6" ht="19.5" customHeight="1">
      <c r="B6" s="9" t="inlineStr">
        <is>
          <t>TOESTAND</t>
        </is>
      </c>
      <c r="C6" s="43" t="inlineStr">
        <is>
          <t>✔</t>
        </is>
      </c>
      <c r="D6" s="9" t="inlineStr">
        <is>
          <t>CHECKLISTPUNT</t>
        </is>
      </c>
      <c r="E6" s="9" t="inlineStr">
        <is>
          <t>TOESTANDSSTATUS</t>
        </is>
      </c>
    </row>
    <row r="7" ht="21" customHeight="1">
      <c r="B7" s="44" t="inlineStr">
        <is>
          <t>1. Seeded</t>
        </is>
      </c>
      <c r="C7" s="45" t="inlineStr">
        <is>
          <t>✔</t>
        </is>
      </c>
      <c r="D7" s="46" t="inlineStr">
        <is>
          <t>De teammissie is gedefinieerd.</t>
        </is>
      </c>
      <c r="E7" s="47">
        <f>COUNTIF(C7:C11,"✔")&amp;" / 5"</f>
        <v/>
      </c>
      <c r="G7" t="inlineStr">
        <is>
          <t>Seeded</t>
        </is>
      </c>
      <c r="H7">
        <f>COUNTIF(C7:C11,"✔")</f>
        <v/>
      </c>
      <c r="I7" t="n">
        <v>5</v>
      </c>
      <c r="J7">
        <f>IF(H7=I7,1,0)</f>
        <v/>
      </c>
      <c r="K7">
        <f>J7</f>
        <v/>
      </c>
    </row>
    <row r="8" ht="21" customHeight="1">
      <c r="B8" s="48" t="n"/>
      <c r="C8" s="49" t="inlineStr">
        <is>
          <t>✔</t>
        </is>
      </c>
      <c r="D8" s="50" t="inlineStr">
        <is>
          <t>De beperkingen voor het team zijn bekend.</t>
        </is>
      </c>
      <c r="G8" t="inlineStr">
        <is>
          <t>Formed</t>
        </is>
      </c>
      <c r="H8">
        <f>COUNTIF(C12:C15,"✔")</f>
        <v/>
      </c>
      <c r="I8" t="n">
        <v>4</v>
      </c>
      <c r="J8">
        <f>IF(H8=I8,1,0)</f>
        <v/>
      </c>
      <c r="K8">
        <f>J8*K7</f>
        <v/>
      </c>
    </row>
    <row r="9" ht="21" customHeight="1">
      <c r="B9" s="48" t="n"/>
      <c r="C9" s="45" t="inlineStr">
        <is>
          <t>✔</t>
        </is>
      </c>
      <c r="D9" s="46" t="inlineStr">
        <is>
          <t>De vereiste competenties zijn geïdentificeerd.</t>
        </is>
      </c>
      <c r="G9" t="inlineStr">
        <is>
          <t>Collaborating</t>
        </is>
      </c>
      <c r="H9">
        <f>COUNTIF(C16:C18,"✔")</f>
        <v/>
      </c>
      <c r="I9" t="n">
        <v>3</v>
      </c>
      <c r="J9">
        <f>IF(H9=I9,1,0)</f>
        <v/>
      </c>
      <c r="K9">
        <f>J9*K8</f>
        <v/>
      </c>
    </row>
    <row r="10" ht="21" customHeight="1">
      <c r="B10" s="48" t="n"/>
      <c r="C10" s="49" t="inlineStr">
        <is>
          <t>✔</t>
        </is>
      </c>
      <c r="D10" s="50" t="inlineStr">
        <is>
          <t>Het leiderschap- en governance-model is geselecteerd.</t>
        </is>
      </c>
      <c r="G10" t="inlineStr">
        <is>
          <t>Performing</t>
        </is>
      </c>
      <c r="H10">
        <f>COUNTIF(C19:C21,"✔")</f>
        <v/>
      </c>
      <c r="I10" t="n">
        <v>3</v>
      </c>
      <c r="J10">
        <f>IF(H10=I10,1,0)</f>
        <v/>
      </c>
      <c r="K10">
        <f>J10*K9</f>
        <v/>
      </c>
    </row>
    <row r="11" ht="21" customHeight="1">
      <c r="B11" s="48" t="n"/>
      <c r="C11" s="45" t="inlineStr">
        <is>
          <t>✔</t>
        </is>
      </c>
      <c r="D11" s="46" t="inlineStr">
        <is>
          <t>De teamomvang en -samenstelling zijn overeengekomen.</t>
        </is>
      </c>
      <c r="G11" t="inlineStr">
        <is>
          <t>Adjourned</t>
        </is>
      </c>
      <c r="H11">
        <f>COUNTIF(C22:C23,"✔")</f>
        <v/>
      </c>
      <c r="I11" t="n">
        <v>2</v>
      </c>
      <c r="J11">
        <f>IF(H11=I11,1,0)</f>
        <v/>
      </c>
      <c r="K11">
        <f>J11*K10</f>
        <v/>
      </c>
    </row>
    <row r="12" ht="21" customHeight="1">
      <c r="B12" s="44" t="inlineStr">
        <is>
          <t>2. Formed</t>
        </is>
      </c>
      <c r="C12" s="49" t="inlineStr">
        <is>
          <t>✔</t>
        </is>
      </c>
      <c r="D12" s="50" t="inlineStr">
        <is>
          <t>Voldoende teamleden zijn geworven om te beginnen.</t>
        </is>
      </c>
      <c r="E12" s="47">
        <f>COUNTIF(C12:C15,"✔")&amp;" / 4"</f>
        <v/>
      </c>
    </row>
    <row r="13" ht="21" customHeight="1">
      <c r="B13" s="48" t="n"/>
      <c r="C13" s="45" t="inlineStr">
        <is>
          <t>✔</t>
        </is>
      </c>
      <c r="D13" s="46" t="inlineStr">
        <is>
          <t>Rollen en verantwoordelijkheden zijn begrepen.</t>
        </is>
      </c>
    </row>
    <row r="14" ht="21" customHeight="1">
      <c r="B14" s="48" t="n"/>
      <c r="C14" s="49" t="inlineStr">
        <is>
          <t>✔</t>
        </is>
      </c>
      <c r="D14" s="50" t="inlineStr">
        <is>
          <t>De leden begrijpen hoe ze samen moeten werken.</t>
        </is>
      </c>
    </row>
    <row r="15" ht="21" customHeight="1">
      <c r="B15" s="48" t="n"/>
      <c r="C15" s="45" t="inlineStr">
        <is>
          <t>✔</t>
        </is>
      </c>
      <c r="D15" s="46" t="inlineStr">
        <is>
          <t>De leden zijn betrokken en toegewijd.</t>
        </is>
      </c>
    </row>
    <row r="16" ht="21" customHeight="1">
      <c r="B16" s="44" t="inlineStr">
        <is>
          <t>3. Collaborating</t>
        </is>
      </c>
      <c r="C16" s="49" t="inlineStr">
        <is>
          <t>✔</t>
        </is>
      </c>
      <c r="D16" s="50" t="inlineStr">
        <is>
          <t>Het team werkt als één samenhangend geheel.</t>
        </is>
      </c>
      <c r="E16" s="47">
        <f>COUNTIF(C16:C18,"✔")&amp;" / 3"</f>
        <v/>
      </c>
    </row>
    <row r="17" ht="21" customHeight="1">
      <c r="B17" s="48" t="n"/>
      <c r="C17" s="45" t="inlineStr">
        <is>
          <t>✔</t>
        </is>
      </c>
      <c r="D17" s="46" t="inlineStr">
        <is>
          <t>Communicatie is open en eerlijk.</t>
        </is>
      </c>
    </row>
    <row r="18" ht="21" customHeight="1">
      <c r="B18" s="48" t="n"/>
      <c r="C18" s="49" t="inlineStr"/>
      <c r="D18" s="50" t="inlineStr">
        <is>
          <t>Het team is gericht op het bereiken van de missie.</t>
        </is>
      </c>
    </row>
    <row r="19" ht="21" customHeight="1">
      <c r="B19" s="44" t="inlineStr">
        <is>
          <t>4. Performing</t>
        </is>
      </c>
      <c r="C19" s="45" t="inlineStr"/>
      <c r="D19" s="46" t="inlineStr">
        <is>
          <t>Het team komt zijn verplichtingen consistent na.</t>
        </is>
      </c>
      <c r="E19" s="47">
        <f>COUNTIF(C19:C21,"✔")&amp;" / 3"</f>
        <v/>
      </c>
    </row>
    <row r="20" ht="21" customHeight="1">
      <c r="B20" s="48" t="n"/>
      <c r="C20" s="49" t="inlineStr"/>
      <c r="D20" s="50" t="inlineStr">
        <is>
          <t>Het team past zich aan de veranderende context aan.</t>
        </is>
      </c>
    </row>
    <row r="21" ht="21" customHeight="1">
      <c r="B21" s="48" t="n"/>
      <c r="C21" s="45" t="inlineStr"/>
      <c r="D21" s="46" t="inlineStr">
        <is>
          <t>Het team identificeert en pakt problemen aan zonder externe hulp.</t>
        </is>
      </c>
    </row>
    <row r="22" ht="21" customHeight="1">
      <c r="B22" s="44" t="inlineStr">
        <is>
          <t>5. Adjourned</t>
        </is>
      </c>
      <c r="C22" s="49" t="inlineStr"/>
      <c r="D22" s="50" t="inlineStr">
        <is>
          <t>De verantwoordelijkheden van het team zijn overgedragen of vervuld.</t>
        </is>
      </c>
      <c r="E22" s="47">
        <f>COUNTIF(C22:C23,"✔")&amp;" / 2"</f>
        <v/>
      </c>
    </row>
    <row r="23" ht="21" customHeight="1">
      <c r="B23" s="48" t="n"/>
      <c r="C23" s="45" t="inlineStr"/>
      <c r="D23" s="46" t="inlineStr">
        <is>
          <t>De middelen zijn vrijgegeven.</t>
        </is>
      </c>
    </row>
  </sheetData>
  <mergeCells count="12">
    <mergeCell ref="B22:B23"/>
    <mergeCell ref="E16:E18"/>
    <mergeCell ref="B12:B15"/>
    <mergeCell ref="B19:B21"/>
    <mergeCell ref="E12:E15"/>
    <mergeCell ref="E22:E23"/>
    <mergeCell ref="E19:E21"/>
    <mergeCell ref="B3:E3"/>
    <mergeCell ref="B16:B18"/>
    <mergeCell ref="B7:B11"/>
    <mergeCell ref="E7:E11"/>
    <mergeCell ref="B2:D2"/>
  </mergeCells>
  <conditionalFormatting sqref="E7:E11">
    <cfRule type="expression" priority="1" dxfId="0">
      <formula>COUNTIF($C$7:$C$11,"✔")=5</formula>
    </cfRule>
  </conditionalFormatting>
  <conditionalFormatting sqref="E12:E15">
    <cfRule type="expression" priority="2" dxfId="0">
      <formula>COUNTIF($C$12:$C$15,"✔")=4</formula>
    </cfRule>
  </conditionalFormatting>
  <conditionalFormatting sqref="E16:E18">
    <cfRule type="expression" priority="3" dxfId="0">
      <formula>COUNTIF($C$16:$C$18,"✔")=3</formula>
    </cfRule>
  </conditionalFormatting>
  <conditionalFormatting sqref="E19:E21">
    <cfRule type="expression" priority="4" dxfId="0">
      <formula>COUNTIF($C$19:$C$21,"✔")=3</formula>
    </cfRule>
  </conditionalFormatting>
  <conditionalFormatting sqref="E22:E23">
    <cfRule type="expression" priority="5" dxfId="0">
      <formula>COUNTIF($C$22:$C$23,"✔")=2</formula>
    </cfRule>
  </conditionalFormatting>
  <dataValidations count="1">
    <dataValidation sqref="C7 C8 C9 C10 C11 C12 C13 C14 C15 C16 C17 C18 C19 C20 C21 C22 C23" showDropDown="0" showInputMessage="0" showErrorMessage="0" allowBlank="1" type="list">
      <formula1>"✔"</formula1>
    </dataValidation>
  </dataValidations>
  <hyperlinks>
    <hyperlink xmlns:r="http://schemas.openxmlformats.org/officeDocument/2006/relationships" ref="B1" r:id="rId1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2A5E9C"/>
    <outlinePr summaryBelow="1" summaryRight="1"/>
    <pageSetUpPr/>
  </sheetPr>
  <dimension ref="B1:M23"/>
  <sheetViews>
    <sheetView workbookViewId="0">
      <selection activeCell="A1" sqref="A1"/>
    </sheetView>
  </sheetViews>
  <sheetFormatPr baseColWidth="8" defaultRowHeight="15"/>
  <cols>
    <col width="3" customWidth="1" min="1" max="1"/>
    <col width="27" customWidth="1" min="2" max="2"/>
    <col width="6" customWidth="1" min="3" max="3"/>
    <col width="95" customWidth="1" min="4" max="4"/>
    <col width="16" customWidth="1" min="5" max="5"/>
    <col hidden="1" width="13" customWidth="1" min="7" max="7"/>
    <col hidden="1" width="3" customWidth="1" min="8" max="8"/>
    <col hidden="1" width="3" customWidth="1" min="9" max="9"/>
    <col hidden="1" width="3" customWidth="1" min="10" max="10"/>
    <col hidden="1" width="3" customWidth="1" min="11" max="11"/>
    <col hidden="1" width="3" customWidth="1" min="13" max="13"/>
  </cols>
  <sheetData>
    <row r="1" ht="15" customHeight="1">
      <c r="B1" s="25" t="inlineStr">
        <is>
          <t>← Dashboard</t>
        </is>
      </c>
      <c r="M1">
        <f>SUM(H7:H12)</f>
        <v/>
      </c>
    </row>
    <row r="2" ht="39.75" customHeight="1">
      <c r="B2" s="36" t="inlineStr">
        <is>
          <t>Way of Working</t>
        </is>
      </c>
      <c r="E2" s="37" t="inlineStr">
        <is>
          <t>SOLUTION</t>
        </is>
      </c>
      <c r="M2">
        <f>SUM(I7:I12)</f>
        <v/>
      </c>
    </row>
    <row r="3" ht="31.5" customHeight="1">
      <c r="B3" s="38" t="inlineStr">
        <is>
          <t>De op maat gemaakte set van practices en tools die het team gebruikt om zijn werk te sturen.</t>
        </is>
      </c>
      <c r="M3">
        <f>SUM(K7:K12)</f>
        <v/>
      </c>
    </row>
    <row r="4" ht="13.5" customHeight="1">
      <c r="B4" s="39" t="inlineStr">
        <is>
          <t>HUIDIGE TOESTAND</t>
        </is>
      </c>
      <c r="C4" s="39" t="inlineStr">
        <is>
          <t>VOORTGANG</t>
        </is>
      </c>
      <c r="D4" s="39" t="inlineStr">
        <is>
          <t>TOESTANDEN BEREIKT</t>
        </is>
      </c>
      <c r="E4" s="39" t="inlineStr">
        <is>
          <t>EIGENAAR · GEBIED</t>
        </is>
      </c>
      <c r="M4">
        <f>SUM(J7:J12)</f>
        <v/>
      </c>
    </row>
    <row r="5" ht="25.5" customHeight="1">
      <c r="B5" s="40">
        <f>IF(M3=0,"Niet gestart",INDEX(G7:G12,M3))</f>
        <v/>
      </c>
      <c r="C5" s="41">
        <f>IF(M2=0,0,M1/M2)</f>
        <v/>
      </c>
      <c r="D5" s="40">
        <f>M4&amp;" / "&amp;6</f>
        <v/>
      </c>
      <c r="E5" s="42" t="inlineStr">
        <is>
          <t>Kernel · END</t>
        </is>
      </c>
    </row>
    <row r="6" ht="19.5" customHeight="1">
      <c r="B6" s="9" t="inlineStr">
        <is>
          <t>TOESTAND</t>
        </is>
      </c>
      <c r="C6" s="43" t="inlineStr">
        <is>
          <t>✔</t>
        </is>
      </c>
      <c r="D6" s="9" t="inlineStr">
        <is>
          <t>CHECKLISTPUNT</t>
        </is>
      </c>
      <c r="E6" s="9" t="inlineStr">
        <is>
          <t>TOESTANDSSTATUS</t>
        </is>
      </c>
    </row>
    <row r="7" ht="21" customHeight="1">
      <c r="B7" s="44" t="inlineStr">
        <is>
          <t>1. Principles Established</t>
        </is>
      </c>
      <c r="C7" s="45" t="inlineStr">
        <is>
          <t>✔</t>
        </is>
      </c>
      <c r="D7" s="46" t="inlineStr">
        <is>
          <t>De principes en beperkingen zijn door het team aanvaard.</t>
        </is>
      </c>
      <c r="E7" s="47">
        <f>COUNTIF(C7:C9,"✔")&amp;" / 3"</f>
        <v/>
      </c>
      <c r="G7" t="inlineStr">
        <is>
          <t>Principles Established</t>
        </is>
      </c>
      <c r="H7">
        <f>COUNTIF(C7:C9,"✔")</f>
        <v/>
      </c>
      <c r="I7" t="n">
        <v>3</v>
      </c>
      <c r="J7">
        <f>IF(H7=I7,1,0)</f>
        <v/>
      </c>
      <c r="K7">
        <f>J7</f>
        <v/>
      </c>
    </row>
    <row r="8" ht="21" customHeight="1">
      <c r="B8" s="48" t="n"/>
      <c r="C8" s="49" t="inlineStr">
        <is>
          <t>✔</t>
        </is>
      </c>
      <c r="D8" s="50" t="inlineStr">
        <is>
          <t>De principes zijn overeengekomen met de stakeholders.</t>
        </is>
      </c>
      <c r="G8" t="inlineStr">
        <is>
          <t>Foundation Established</t>
        </is>
      </c>
      <c r="H8">
        <f>COUNTIF(C10:C12,"✔")</f>
        <v/>
      </c>
      <c r="I8" t="n">
        <v>3</v>
      </c>
      <c r="J8">
        <f>IF(H8=I8,1,0)</f>
        <v/>
      </c>
      <c r="K8">
        <f>J8*K7</f>
        <v/>
      </c>
    </row>
    <row r="9" ht="21" customHeight="1">
      <c r="B9" s="48" t="n"/>
      <c r="C9" s="45" t="inlineStr">
        <is>
          <t>✔</t>
        </is>
      </c>
      <c r="D9" s="46" t="inlineStr">
        <is>
          <t>De tool- en practicebehoeften zijn begrepen.</t>
        </is>
      </c>
      <c r="G9" t="inlineStr">
        <is>
          <t>In Use</t>
        </is>
      </c>
      <c r="H9">
        <f>COUNTIF(C13:C15,"✔")</f>
        <v/>
      </c>
      <c r="I9" t="n">
        <v>3</v>
      </c>
      <c r="J9">
        <f>IF(H9=I9,1,0)</f>
        <v/>
      </c>
      <c r="K9">
        <f>J9*K8</f>
        <v/>
      </c>
    </row>
    <row r="10" ht="21" customHeight="1">
      <c r="B10" s="44" t="inlineStr">
        <is>
          <t>2. Foundation Established</t>
        </is>
      </c>
      <c r="C10" s="49" t="inlineStr">
        <is>
          <t>✔</t>
        </is>
      </c>
      <c r="D10" s="50" t="inlineStr">
        <is>
          <t>De sleutelpractices en tools zijn geselecteerd en voldoende geïntegreerd om te beginnen.</t>
        </is>
      </c>
      <c r="E10" s="47">
        <f>COUNTIF(C10:C12,"✔")&amp;" / 3"</f>
        <v/>
      </c>
      <c r="G10" t="inlineStr">
        <is>
          <t>In Place</t>
        </is>
      </c>
      <c r="H10">
        <f>COUNTIF(C16:C18,"✔")</f>
        <v/>
      </c>
      <c r="I10" t="n">
        <v>3</v>
      </c>
      <c r="J10">
        <f>IF(H10=I10,1,0)</f>
        <v/>
      </c>
      <c r="K10">
        <f>J10*K9</f>
        <v/>
      </c>
    </row>
    <row r="11" ht="21" customHeight="1">
      <c r="B11" s="48" t="n"/>
      <c r="C11" s="45" t="inlineStr">
        <is>
          <t>✔</t>
        </is>
      </c>
      <c r="D11" s="46" t="inlineStr">
        <is>
          <t>De niet-onderhandelbare practices zijn overeengekomen.</t>
        </is>
      </c>
      <c r="G11" t="inlineStr">
        <is>
          <t>Working Well</t>
        </is>
      </c>
      <c r="H11">
        <f>COUNTIF(C19:C21,"✔")</f>
        <v/>
      </c>
      <c r="I11" t="n">
        <v>3</v>
      </c>
      <c r="J11">
        <f>IF(H11=I11,1,0)</f>
        <v/>
      </c>
      <c r="K11">
        <f>J11*K10</f>
        <v/>
      </c>
    </row>
    <row r="12" ht="21" customHeight="1">
      <c r="B12" s="48" t="n"/>
      <c r="C12" s="49" t="inlineStr">
        <is>
          <t>✔</t>
        </is>
      </c>
      <c r="D12" s="50" t="inlineStr">
        <is>
          <t>De capaciteitslacunes zijn begrepen.</t>
        </is>
      </c>
      <c r="G12" t="inlineStr">
        <is>
          <t>Retired</t>
        </is>
      </c>
      <c r="H12">
        <f>COUNTIF(C22:C23,"✔")</f>
        <v/>
      </c>
      <c r="I12" t="n">
        <v>2</v>
      </c>
      <c r="J12">
        <f>IF(H12=I12,1,0)</f>
        <v/>
      </c>
      <c r="K12">
        <f>J12*K11</f>
        <v/>
      </c>
    </row>
    <row r="13" ht="21" customHeight="1">
      <c r="B13" s="44" t="inlineStr">
        <is>
          <t>3. In Use</t>
        </is>
      </c>
      <c r="C13" s="45" t="inlineStr">
        <is>
          <t>✔</t>
        </is>
      </c>
      <c r="D13" s="46" t="inlineStr">
        <is>
          <t>De practices en tools worden gebruikt door het team.</t>
        </is>
      </c>
      <c r="E13" s="47">
        <f>COUNTIF(C13:C15,"✔")&amp;" / 3"</f>
        <v/>
      </c>
    </row>
    <row r="14" ht="21" customHeight="1">
      <c r="B14" s="48" t="n"/>
      <c r="C14" s="49" t="inlineStr"/>
      <c r="D14" s="50" t="inlineStr">
        <is>
          <t>Het team past de manier van werken aan aan zijn behoeften.</t>
        </is>
      </c>
    </row>
    <row r="15" ht="21" customHeight="1">
      <c r="B15" s="48" t="n"/>
      <c r="C15" s="45" t="inlineStr"/>
      <c r="D15" s="46" t="inlineStr">
        <is>
          <t>Feedbackmechanismen zijn aanwezig.</t>
        </is>
      </c>
    </row>
    <row r="16" ht="21" customHeight="1">
      <c r="B16" s="44" t="inlineStr">
        <is>
          <t>4. In Place</t>
        </is>
      </c>
      <c r="C16" s="49" t="inlineStr"/>
      <c r="D16" s="50" t="inlineStr">
        <is>
          <t>Het volledige team gebruikt de manier van werken.</t>
        </is>
      </c>
      <c r="E16" s="47">
        <f>COUNTIF(C16:C18,"✔")&amp;" / 3"</f>
        <v/>
      </c>
    </row>
    <row r="17" ht="21" customHeight="1">
      <c r="B17" s="48" t="n"/>
      <c r="C17" s="45" t="inlineStr"/>
      <c r="D17" s="46" t="inlineStr">
        <is>
          <t>Het team heeft toegang tot de tools.</t>
        </is>
      </c>
    </row>
    <row r="18" ht="21" customHeight="1">
      <c r="B18" s="48" t="n"/>
      <c r="C18" s="49" t="inlineStr"/>
      <c r="D18" s="50" t="inlineStr">
        <is>
          <t>De manier van werken wordt regelmatig geïnspecteerd.</t>
        </is>
      </c>
    </row>
    <row r="19" ht="21" customHeight="1">
      <c r="B19" s="44" t="inlineStr">
        <is>
          <t>5. Working Well</t>
        </is>
      </c>
      <c r="C19" s="45" t="inlineStr"/>
      <c r="D19" s="46" t="inlineStr">
        <is>
          <t>Het team levert voorspelbaar op met behulp van de manier van werken.</t>
        </is>
      </c>
      <c r="E19" s="47">
        <f>COUNTIF(C19:C21,"✔")&amp;" / 3"</f>
        <v/>
      </c>
    </row>
    <row r="20" ht="21" customHeight="1">
      <c r="B20" s="48" t="n"/>
      <c r="C20" s="49" t="inlineStr"/>
      <c r="D20" s="50" t="inlineStr">
        <is>
          <t>De practices worden natuurlijk toegepast en continu afgestemd.</t>
        </is>
      </c>
    </row>
    <row r="21" ht="21" customHeight="1">
      <c r="B21" s="48" t="n"/>
      <c r="C21" s="45" t="inlineStr"/>
      <c r="D21" s="46" t="inlineStr">
        <is>
          <t>Het team verbetert de manier van werken continu.</t>
        </is>
      </c>
    </row>
    <row r="22" ht="21" customHeight="1">
      <c r="B22" s="44" t="inlineStr">
        <is>
          <t>6. Retired</t>
        </is>
      </c>
      <c r="C22" s="49" t="inlineStr"/>
      <c r="D22" s="50" t="inlineStr">
        <is>
          <t>De manier van werken is niet meer in gebruik.</t>
        </is>
      </c>
      <c r="E22" s="47">
        <f>COUNTIF(C22:C23,"✔")&amp;" / 2"</f>
        <v/>
      </c>
    </row>
    <row r="23" ht="21" customHeight="1">
      <c r="B23" s="48" t="n"/>
      <c r="C23" s="45" t="inlineStr"/>
      <c r="D23" s="46" t="inlineStr">
        <is>
          <t>De geleerde lessen zijn vastgelegd.</t>
        </is>
      </c>
    </row>
  </sheetData>
  <mergeCells count="14">
    <mergeCell ref="E13:E15"/>
    <mergeCell ref="E7:E9"/>
    <mergeCell ref="B10:B12"/>
    <mergeCell ref="B22:B23"/>
    <mergeCell ref="E16:E18"/>
    <mergeCell ref="B13:B15"/>
    <mergeCell ref="E10:E12"/>
    <mergeCell ref="B19:B21"/>
    <mergeCell ref="E22:E23"/>
    <mergeCell ref="E19:E21"/>
    <mergeCell ref="B7:B9"/>
    <mergeCell ref="B3:E3"/>
    <mergeCell ref="B16:B18"/>
    <mergeCell ref="B2:D2"/>
  </mergeCells>
  <conditionalFormatting sqref="E7:E9">
    <cfRule type="expression" priority="1" dxfId="0">
      <formula>COUNTIF($C$7:$C$9,"✔")=3</formula>
    </cfRule>
  </conditionalFormatting>
  <conditionalFormatting sqref="E10:E12">
    <cfRule type="expression" priority="2" dxfId="0">
      <formula>COUNTIF($C$10:$C$12,"✔")=3</formula>
    </cfRule>
  </conditionalFormatting>
  <conditionalFormatting sqref="E13:E15">
    <cfRule type="expression" priority="3" dxfId="0">
      <formula>COUNTIF($C$13:$C$15,"✔")=3</formula>
    </cfRule>
  </conditionalFormatting>
  <conditionalFormatting sqref="E16:E18">
    <cfRule type="expression" priority="4" dxfId="0">
      <formula>COUNTIF($C$16:$C$18,"✔")=3</formula>
    </cfRule>
  </conditionalFormatting>
  <conditionalFormatting sqref="E19:E21">
    <cfRule type="expression" priority="5" dxfId="0">
      <formula>COUNTIF($C$19:$C$21,"✔")=3</formula>
    </cfRule>
  </conditionalFormatting>
  <conditionalFormatting sqref="E22:E23">
    <cfRule type="expression" priority="6" dxfId="0">
      <formula>COUNTIF($C$22:$C$23,"✔")=2</formula>
    </cfRule>
  </conditionalFormatting>
  <dataValidations count="1">
    <dataValidation sqref="C7 C8 C9 C10 C11 C12 C13 C14 C15 C16 C17 C18 C19 C20 C21 C22 C23" showDropDown="0" showInputMessage="0" showErrorMessage="0" allowBlank="1" type="list">
      <formula1>"✔"</formula1>
    </dataValidation>
  </dataValidations>
  <hyperlinks>
    <hyperlink xmlns:r="http://schemas.openxmlformats.org/officeDocument/2006/relationships" ref="B1" r:id="rId1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2A5E9C"/>
    <outlinePr summaryBelow="1" summaryRight="1"/>
    <pageSetUpPr/>
  </sheetPr>
  <dimension ref="B1:M16"/>
  <sheetViews>
    <sheetView workbookViewId="0">
      <selection activeCell="A1" sqref="A1"/>
    </sheetView>
  </sheetViews>
  <sheetFormatPr baseColWidth="8" defaultRowHeight="15"/>
  <cols>
    <col width="3" customWidth="1" min="1" max="1"/>
    <col width="27" customWidth="1" min="2" max="2"/>
    <col width="6" customWidth="1" min="3" max="3"/>
    <col width="95" customWidth="1" min="4" max="4"/>
    <col width="16" customWidth="1" min="5" max="5"/>
    <col hidden="1" width="13" customWidth="1" min="7" max="7"/>
    <col hidden="1" width="3" customWidth="1" min="8" max="8"/>
    <col hidden="1" width="3" customWidth="1" min="9" max="9"/>
    <col hidden="1" width="3" customWidth="1" min="10" max="10"/>
    <col hidden="1" width="3" customWidth="1" min="11" max="11"/>
    <col hidden="1" width="3" customWidth="1" min="13" max="13"/>
  </cols>
  <sheetData>
    <row r="1" ht="15" customHeight="1">
      <c r="B1" s="25" t="inlineStr">
        <is>
          <t>← Dashboard</t>
        </is>
      </c>
      <c r="M1">
        <f>SUM(H7:H11)</f>
        <v/>
      </c>
    </row>
    <row r="2" ht="39.75" customHeight="1">
      <c r="B2" s="57" t="inlineStr">
        <is>
          <t>Governance</t>
        </is>
      </c>
      <c r="E2" s="58" t="inlineStr">
        <is>
          <t>SPANS LEVELS</t>
        </is>
      </c>
      <c r="M2">
        <f>SUM(I7:I11)</f>
        <v/>
      </c>
    </row>
    <row r="3" ht="31.5" customHeight="1">
      <c r="B3" s="38" t="inlineStr">
        <is>
          <t>De lichtgewichte beslissingsbevoegdheden, guardrails en zekerheid die levering in lijn houden met de bedoeling.</t>
        </is>
      </c>
      <c r="M3">
        <f>SUM(K7:K11)</f>
        <v/>
      </c>
    </row>
    <row r="4" ht="13.5" customHeight="1">
      <c r="B4" s="39" t="inlineStr">
        <is>
          <t>HUIDIGE TOESTAND</t>
        </is>
      </c>
      <c r="C4" s="39" t="inlineStr">
        <is>
          <t>VOORTGANG</t>
        </is>
      </c>
      <c r="D4" s="39" t="inlineStr">
        <is>
          <t>TOESTANDEN BEREIKT</t>
        </is>
      </c>
      <c r="E4" s="39" t="inlineStr">
        <is>
          <t>EIGENAAR · GEBIED</t>
        </is>
      </c>
      <c r="M4">
        <f>SUM(J7:J11)</f>
        <v/>
      </c>
    </row>
    <row r="5" ht="25.5" customHeight="1">
      <c r="B5" s="59">
        <f>IF(M3=0,"Niet gestart",INDEX(G7:G11,M3))</f>
        <v/>
      </c>
      <c r="C5" s="60">
        <f>IF(M2=0,0,M1/M2)</f>
        <v/>
      </c>
      <c r="D5" s="59">
        <f>M4&amp;" / "&amp;5</f>
        <v/>
      </c>
      <c r="E5" s="61" t="inlineStr">
        <is>
          <t>MVG · END</t>
        </is>
      </c>
    </row>
    <row r="6" ht="19.5" customHeight="1">
      <c r="B6" s="9" t="inlineStr">
        <is>
          <t>TOESTAND</t>
        </is>
      </c>
      <c r="C6" s="43" t="inlineStr">
        <is>
          <t>✔</t>
        </is>
      </c>
      <c r="D6" s="9" t="inlineStr">
        <is>
          <t>CHECKLISTPUNT</t>
        </is>
      </c>
      <c r="E6" s="9" t="inlineStr">
        <is>
          <t>TOESTANDSSTATUS</t>
        </is>
      </c>
    </row>
    <row r="7" ht="21" customHeight="1">
      <c r="B7" s="62" t="inlineStr">
        <is>
          <t>1. Initiated</t>
        </is>
      </c>
      <c r="C7" s="45" t="inlineStr">
        <is>
          <t>✔</t>
        </is>
      </c>
      <c r="D7" s="46" t="inlineStr">
        <is>
          <t>De beslissingsbevoegdheden en minimale guardrails zijn overeengekomen.</t>
        </is>
      </c>
      <c r="E7" s="47">
        <f>COUNTIF(C7:C8,"✔")&amp;" / 2"</f>
        <v/>
      </c>
      <c r="G7" t="inlineStr">
        <is>
          <t>Initiated</t>
        </is>
      </c>
      <c r="H7">
        <f>COUNTIF(C7:C8,"✔")</f>
        <v/>
      </c>
      <c r="I7" t="n">
        <v>2</v>
      </c>
      <c r="J7">
        <f>IF(H7=I7,1,0)</f>
        <v/>
      </c>
      <c r="K7">
        <f>J7</f>
        <v/>
      </c>
    </row>
    <row r="8" ht="21" customHeight="1">
      <c r="B8" s="48" t="n"/>
      <c r="C8" s="49" t="inlineStr">
        <is>
          <t>✔</t>
        </is>
      </c>
      <c r="D8" s="50" t="inlineStr">
        <is>
          <t>Het is duidelijk wie wat beslist.</t>
        </is>
      </c>
      <c r="G8" t="inlineStr">
        <is>
          <t>Engaged</t>
        </is>
      </c>
      <c r="H8">
        <f>COUNTIF(C9:C10,"✔")</f>
        <v/>
      </c>
      <c r="I8" t="n">
        <v>2</v>
      </c>
      <c r="J8">
        <f>IF(H8=I8,1,0)</f>
        <v/>
      </c>
      <c r="K8">
        <f>J8*K7</f>
        <v/>
      </c>
    </row>
    <row r="9" ht="21" customHeight="1">
      <c r="B9" s="62" t="inlineStr">
        <is>
          <t>2. Engaged</t>
        </is>
      </c>
      <c r="C9" s="45" t="inlineStr">
        <is>
          <t>✔</t>
        </is>
      </c>
      <c r="D9" s="46" t="inlineStr">
        <is>
          <t>Een lean governance-ritme is operationeel.</t>
        </is>
      </c>
      <c r="E9" s="47">
        <f>COUNTIF(C9:C10,"✔")&amp;" / 2"</f>
        <v/>
      </c>
      <c r="G9" t="inlineStr">
        <is>
          <t>Guiding</t>
        </is>
      </c>
      <c r="H9">
        <f>COUNTIF(C11:C12,"✔")</f>
        <v/>
      </c>
      <c r="I9" t="n">
        <v>2</v>
      </c>
      <c r="J9">
        <f>IF(H9=I9,1,0)</f>
        <v/>
      </c>
      <c r="K9">
        <f>J9*K8</f>
        <v/>
      </c>
    </row>
    <row r="10" ht="21" customHeight="1">
      <c r="B10" s="48" t="n"/>
      <c r="C10" s="49" t="inlineStr">
        <is>
          <t>✔</t>
        </is>
      </c>
      <c r="D10" s="50" t="inlineStr">
        <is>
          <t>De teams kennen de guardrails.</t>
        </is>
      </c>
      <c r="G10" t="inlineStr">
        <is>
          <t>Assured</t>
        </is>
      </c>
      <c r="H10">
        <f>COUNTIF(C13:C14,"✔")</f>
        <v/>
      </c>
      <c r="I10" t="n">
        <v>2</v>
      </c>
      <c r="J10">
        <f>IF(H10=I10,1,0)</f>
        <v/>
      </c>
      <c r="K10">
        <f>J10*K9</f>
        <v/>
      </c>
    </row>
    <row r="11" ht="21" customHeight="1">
      <c r="B11" s="62" t="inlineStr">
        <is>
          <t>3. Guiding</t>
        </is>
      </c>
      <c r="C11" s="45" t="inlineStr">
        <is>
          <t>✔</t>
        </is>
      </c>
      <c r="D11" s="46" t="inlineStr">
        <is>
          <t>Beslissingen stromen binnen de guardrails.</t>
        </is>
      </c>
      <c r="E11" s="47">
        <f>COUNTIF(C11:C12,"✔")&amp;" / 2"</f>
        <v/>
      </c>
      <c r="G11" t="inlineStr">
        <is>
          <t>Effective</t>
        </is>
      </c>
      <c r="H11">
        <f>COUNTIF(C15:C16,"✔")</f>
        <v/>
      </c>
      <c r="I11" t="n">
        <v>2</v>
      </c>
      <c r="J11">
        <f>IF(H11=I11,1,0)</f>
        <v/>
      </c>
      <c r="K11">
        <f>J11*K10</f>
        <v/>
      </c>
    </row>
    <row r="12" ht="21" customHeight="1">
      <c r="B12" s="48" t="n"/>
      <c r="C12" s="49" t="inlineStr">
        <is>
          <t>✔</t>
        </is>
      </c>
      <c r="D12" s="50" t="inlineStr">
        <is>
          <t>Alleen uitzonderingen worden geëscaleerd.</t>
        </is>
      </c>
    </row>
    <row r="13" ht="21" customHeight="1">
      <c r="B13" s="62" t="inlineStr">
        <is>
          <t>4. Assured</t>
        </is>
      </c>
      <c r="C13" s="45" t="inlineStr">
        <is>
          <t>✔</t>
        </is>
      </c>
      <c r="D13" s="46" t="inlineStr">
        <is>
          <t>Conformance is aangetoond waar het werkelijk van belang is.</t>
        </is>
      </c>
      <c r="E13" s="47">
        <f>COUNTIF(C13:C14,"✔")&amp;" / 2"</f>
        <v/>
      </c>
    </row>
    <row r="14" ht="21" customHeight="1">
      <c r="B14" s="48" t="n"/>
      <c r="C14" s="49" t="inlineStr"/>
      <c r="D14" s="50" t="inlineStr">
        <is>
          <t>De architectuurbeoordelingen worden opgevolgd.</t>
        </is>
      </c>
    </row>
    <row r="15" ht="21" customHeight="1">
      <c r="B15" s="62" t="inlineStr">
        <is>
          <t>5. Effective</t>
        </is>
      </c>
      <c r="C15" s="45" t="inlineStr"/>
      <c r="D15" s="46" t="inlineStr">
        <is>
          <t>Governance maakt levering aantoonbaar mogelijk.</t>
        </is>
      </c>
      <c r="E15" s="47">
        <f>COUNTIF(C15:C16,"✔")&amp;" / 2"</f>
        <v/>
      </c>
    </row>
    <row r="16" ht="21" customHeight="1">
      <c r="B16" s="48" t="n"/>
      <c r="C16" s="49" t="inlineStr"/>
      <c r="D16" s="50" t="inlineStr">
        <is>
          <t>De governance zelf wordt continu afgestemd en verlicht.</t>
        </is>
      </c>
    </row>
  </sheetData>
  <mergeCells count="12">
    <mergeCell ref="B9:B10"/>
    <mergeCell ref="E9:E10"/>
    <mergeCell ref="B13:B14"/>
    <mergeCell ref="E13:E14"/>
    <mergeCell ref="B7:B8"/>
    <mergeCell ref="B11:B12"/>
    <mergeCell ref="E7:E8"/>
    <mergeCell ref="E15:E16"/>
    <mergeCell ref="B3:E3"/>
    <mergeCell ref="E11:E12"/>
    <mergeCell ref="B2:D2"/>
    <mergeCell ref="B15:B16"/>
  </mergeCells>
  <conditionalFormatting sqref="E7:E8">
    <cfRule type="expression" priority="1" dxfId="0">
      <formula>COUNTIF($C$7:$C$8,"✔")=2</formula>
    </cfRule>
  </conditionalFormatting>
  <conditionalFormatting sqref="E9:E10">
    <cfRule type="expression" priority="2" dxfId="0">
      <formula>COUNTIF($C$9:$C$10,"✔")=2</formula>
    </cfRule>
  </conditionalFormatting>
  <conditionalFormatting sqref="E11:E12">
    <cfRule type="expression" priority="3" dxfId="0">
      <formula>COUNTIF($C$11:$C$12,"✔")=2</formula>
    </cfRule>
  </conditionalFormatting>
  <conditionalFormatting sqref="E13:E14">
    <cfRule type="expression" priority="4" dxfId="0">
      <formula>COUNTIF($C$13:$C$14,"✔")=2</formula>
    </cfRule>
  </conditionalFormatting>
  <conditionalFormatting sqref="E15:E16">
    <cfRule type="expression" priority="5" dxfId="0">
      <formula>COUNTIF($C$15:$C$16,"✔")=2</formula>
    </cfRule>
  </conditionalFormatting>
  <dataValidations count="1">
    <dataValidation sqref="C7 C8 C9 C10 C11 C12 C13 C14 C15 C16" showDropDown="0" showInputMessage="0" showErrorMessage="0" allowBlank="1" type="list">
      <formula1>"✔"</formula1>
    </dataValidation>
  </dataValidations>
  <hyperlinks>
    <hyperlink xmlns:r="http://schemas.openxmlformats.org/officeDocument/2006/relationships" ref="B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2026-06-08T05:31:42Z</dcterms:created>
  <dcterms:modified xsi:type="dcterms:W3CDTF">2026-06-08T05:31:42Z</dcterms:modified>
</cp:coreProperties>
</file>