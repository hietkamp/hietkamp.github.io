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evels of Scale" sheetId="2" state="visible" r:id="rId4"/>
    <sheet name="Opportunity" sheetId="3" state="visible" r:id="rId5"/>
    <sheet name="Stakeholders" sheetId="4" state="visible" r:id="rId6"/>
    <sheet name="Requirements" sheetId="5" state="visible" r:id="rId7"/>
    <sheet name="System" sheetId="6" state="visible" r:id="rId8"/>
    <sheet name="Work" sheetId="7" state="visible" r:id="rId9"/>
    <sheet name="Team" sheetId="8" state="visible" r:id="rId10"/>
    <sheet name="Way of Working" sheetId="9" state="visible" r:id="rId11"/>
    <sheet name="Architectural Drivers" sheetId="10" state="visible" r:id="rId12"/>
    <sheet name="Architecture" sheetId="11" state="visible" r:id="rId13"/>
    <sheet name="Architecture Decisions" sheetId="12" state="visible" r:id="rId14"/>
    <sheet name="Paved Road" sheetId="13" state="visible" r:id="rId15"/>
    <sheet name="Governance" sheetId="14" state="visible" r:id="rId16"/>
    <sheet name="Business Scenario" sheetId="15" state="visible" r:id="rId17"/>
    <sheet name="Service Blueprint" sheetId="16" state="visible" r:id="rId18"/>
  </sheets>
  <definedNames>
    <definedName function="false" hidden="false" localSheetId="9" name="_xlnm.Print_Titles" vbProcedure="false">'Architectural Drivers'!$1:$6</definedName>
    <definedName function="false" hidden="false" localSheetId="10" name="_xlnm.Print_Titles" vbProcedure="false">Architecture!$1:$6</definedName>
    <definedName function="false" hidden="false" localSheetId="11" name="_xlnm.Print_Titles" vbProcedure="false">'Architecture Decisions'!$1:$6</definedName>
    <definedName function="false" hidden="false" localSheetId="14" name="_xlnm.Print_Titles" vbProcedure="false">'Business Scenario'!$1:$6</definedName>
    <definedName function="false" hidden="false" localSheetId="0" name="_xlnm.Print_Titles" vbProcedure="false">Dashboard!$1:$8</definedName>
    <definedName function="false" hidden="false" localSheetId="13" name="_xlnm.Print_Titles" vbProcedure="false">Governance!$1:$6</definedName>
    <definedName function="false" hidden="false" localSheetId="2" name="_xlnm.Print_Titles" vbProcedure="false">Opportunity!$1:$6</definedName>
    <definedName function="false" hidden="false" localSheetId="12" name="_xlnm.Print_Titles" vbProcedure="false">'Paved Road'!$1:$6</definedName>
    <definedName function="false" hidden="false" localSheetId="4" name="_xlnm.Print_Titles" vbProcedure="false">Requirements!$1:$6</definedName>
    <definedName function="false" hidden="false" localSheetId="15" name="_xlnm.Print_Titles" vbProcedure="false">'Service Blueprint'!$1:$6</definedName>
    <definedName function="false" hidden="false" localSheetId="3" name="_xlnm.Print_Titles" vbProcedure="false">Stakeholders!$1:$6</definedName>
    <definedName function="false" hidden="false" localSheetId="5" name="_xlnm.Print_Titles" vbProcedure="false">System!$1:$6</definedName>
    <definedName function="false" hidden="false" localSheetId="7" name="_xlnm.Print_Titles" vbProcedure="false">Team!$1:$6</definedName>
    <definedName function="false" hidden="false" localSheetId="8" name="_xlnm.Print_Titles" vbProcedure="false">'Way of Working'!$1:$6</definedName>
    <definedName function="false" hidden="false" localSheetId="6" name="_xlnm.Print_Titles" vbProcedure="false">Work!$1:$6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<sst xmlns="http://schemas.openxmlformats.org/spreadsheetml/2006/main" count="762" uniqueCount="438">
  <si>
    <t xml:space="preserve">Essence Alpha Assessment</t>
  </si>
  <si>
    <t xml:space="preserve">Project progress &amp; performance — kernel + practices, measured by alpha state  ·  assessed at the Solution level (see the Levels of Scale tab)</t>
  </si>
  <si>
    <t xml:space="preserve">OVERALL COMPLETION</t>
  </si>
  <si>
    <t xml:space="preserve">ALPHAS COMPLETE</t>
  </si>
  <si>
    <t xml:space="preserve">CHECKLIST ITEMS</t>
  </si>
  <si>
    <t xml:space="preserve">ALPHA</t>
  </si>
  <si>
    <t xml:space="preserve">OWNER</t>
  </si>
  <si>
    <t xml:space="preserve">LEVEL</t>
  </si>
  <si>
    <t xml:space="preserve">CURRENT STATE</t>
  </si>
  <si>
    <t xml:space="preserve">PROGRESS</t>
  </si>
  <si>
    <t xml:space="preserve">TARGET STATE</t>
  </si>
  <si>
    <t xml:space="preserve">STATUS</t>
  </si>
  <si>
    <t xml:space="preserve">CUSTOMER</t>
  </si>
  <si>
    <t xml:space="preserve">Opportunity</t>
  </si>
  <si>
    <t xml:space="preserve">Kernel</t>
  </si>
  <si>
    <t xml:space="preserve">Solution</t>
  </si>
  <si>
    <t xml:space="preserve">Benefit Accrued</t>
  </si>
  <si>
    <t xml:space="preserve">Stakeholders</t>
  </si>
  <si>
    <t xml:space="preserve">Satisfied in Use</t>
  </si>
  <si>
    <t xml:space="preserve">Business Scenario</t>
  </si>
  <si>
    <t xml:space="preserve">Business Scenarios</t>
  </si>
  <si>
    <t xml:space="preserve">Enterprise</t>
  </si>
  <si>
    <t xml:space="preserve">Released</t>
  </si>
  <si>
    <t xml:space="preserve">Service Blueprint</t>
  </si>
  <si>
    <t xml:space="preserve">In Operation</t>
  </si>
  <si>
    <t xml:space="preserve">SOLUTION</t>
  </si>
  <si>
    <t xml:space="preserve">Requirements</t>
  </si>
  <si>
    <t xml:space="preserve">Fulfilled</t>
  </si>
  <si>
    <t xml:space="preserve">System</t>
  </si>
  <si>
    <t xml:space="preserve">Operational</t>
  </si>
  <si>
    <t xml:space="preserve">Architectural Drivers</t>
  </si>
  <si>
    <t xml:space="preserve">MVA</t>
  </si>
  <si>
    <t xml:space="preserve">Sustained</t>
  </si>
  <si>
    <t xml:space="preserve">Architecture</t>
  </si>
  <si>
    <t xml:space="preserve">Established</t>
  </si>
  <si>
    <t xml:space="preserve">Architecture Decisions</t>
  </si>
  <si>
    <t xml:space="preserve">Validated</t>
  </si>
  <si>
    <t xml:space="preserve">Paved Road</t>
  </si>
  <si>
    <t xml:space="preserve">Pervasive</t>
  </si>
  <si>
    <t xml:space="preserve">ENDEAVOR</t>
  </si>
  <si>
    <t xml:space="preserve">Work</t>
  </si>
  <si>
    <t xml:space="preserve">Closed</t>
  </si>
  <si>
    <t xml:space="preserve">Team</t>
  </si>
  <si>
    <t xml:space="preserve">Performing</t>
  </si>
  <si>
    <t xml:space="preserve">Way of Working</t>
  </si>
  <si>
    <t xml:space="preserve">Working Well</t>
  </si>
  <si>
    <t xml:space="preserve">Governance</t>
  </si>
  <si>
    <t xml:space="preserve">MVG</t>
  </si>
  <si>
    <t xml:space="preserve">Spans</t>
  </si>
  <si>
    <t xml:space="preserve">Effective</t>
  </si>
  <si>
    <t xml:space="preserve">Tip: open any alpha tab and tick the ✔ column (dropdown) per checklist item. Current state, progress and this dashboard update automatically.  •  Sample data shown — clear the ✔ cells to start your own assessment.</t>
  </si>
  <si>
    <t xml:space="preserve">Status:  ✔ Complete   ● In progress   ○ Not started        Level:  Enterprise (inherited)  ·  Solution (owned here)  ·  Spans</t>
  </si>
  <si>
    <t xml:space="preserve">→ See the 'Levels of Scale' tab for how the levels work</t>
  </si>
  <si>
    <t xml:space="preserve">Levels of Scale — naming the System</t>
  </si>
  <si>
    <t xml:space="preserve">The System alpha is the system of interest — and it is fractal. Choose the level before you assess.</t>
  </si>
  <si>
    <t xml:space="preserve">An enterprise is a system of systems; a solution is a sub-system of the enterprise; a configured product is a sub-system of the solution. The same kernel and practices instantiate at any level — and what is a System at one level is a sub-system at the level above. The boundary you draw decides what every alpha actually measures.</t>
  </si>
  <si>
    <t xml:space="preserve">ENTERPRISE — System = the enterprise
Enterprise architecture, the paved road, drivers and standing governance are owned here. Each solution rolls up into the enterprise.</t>
  </si>
  <si>
    <t xml:space="preserve">SOLUTION / PROJECT — System = the solution
Inherits the enterprise paved road, drivers and governance as context; owns the architecture and decisions for this solution.</t>
  </si>
  <si>
    <t xml:space="preserve">COMPONENT — System = a configured product
A sub-system of the solution, tracked in its own right when it warrants it.</t>
  </si>
  <si>
    <t xml:space="preserve">The same kernel + practices run at each level; a System at one level is a sub-system at the one above.</t>
  </si>
  <si>
    <t xml:space="preserve">WHICH PRACTICE RUNS WHERE</t>
  </si>
  <si>
    <t xml:space="preserve">ENTERPRISE  →</t>
  </si>
  <si>
    <t xml:space="preserve">Business Scenarios (set the drivers) · enterprise MVA · MVG (guardrails + paved road) — handed down as context</t>
  </si>
  <si>
    <t xml:space="preserve">SOLUTION  →</t>
  </si>
  <si>
    <t xml:space="preserve">Service Blueprint (design the service) · MVA (architect within the guardrails) — feeds evidence &amp; new drivers back up</t>
  </si>
  <si>
    <t xml:space="preserve">This workbook assesses the SOLUTION level. Alphas owned here are tagged Solution; the Paved Road and the (enterprise) Business Scenario are inherited from the Enterprise; Governance spans levels. The level tag appears on each alpha tab (top-right) and in the dashboard.</t>
  </si>
  <si>
    <t xml:space="preserve">← Dashboard</t>
  </si>
  <si>
    <t xml:space="preserve">The circumstances that make a new or changed system worthwhile.</t>
  </si>
  <si>
    <t xml:space="preserve">STATES ACHIEVED</t>
  </si>
  <si>
    <t xml:space="preserve">OWNER · AREA</t>
  </si>
  <si>
    <t xml:space="preserve">Kernel · Customer</t>
  </si>
  <si>
    <t xml:space="preserve">STATE</t>
  </si>
  <si>
    <t xml:space="preserve">✔</t>
  </si>
  <si>
    <t xml:space="preserve">CHECKLIST ITEM</t>
  </si>
  <si>
    <t xml:space="preserve">STATE STATUS</t>
  </si>
  <si>
    <t xml:space="preserve">1. Identified</t>
  </si>
  <si>
    <t xml:space="preserve">An idea for improving the way of working, increasing market share or applying a new system has been identified.</t>
  </si>
  <si>
    <t xml:space="preserve">Identified</t>
  </si>
  <si>
    <t xml:space="preserve">At least one stakeholder wishes to invest in understanding the opportunity and its value.</t>
  </si>
  <si>
    <t xml:space="preserve">Solution Needed</t>
  </si>
  <si>
    <t xml:space="preserve">The other stakeholders who share the opportunity have been identified.</t>
  </si>
  <si>
    <t xml:space="preserve">Value Established</t>
  </si>
  <si>
    <t xml:space="preserve">2. Solution Needed</t>
  </si>
  <si>
    <t xml:space="preserve">The stakeholders in the opportunity and the proposed solution have been identified.</t>
  </si>
  <si>
    <t xml:space="preserve">Viable</t>
  </si>
  <si>
    <t xml:space="preserve">The stakeholder needs that generate the opportunity have been established.</t>
  </si>
  <si>
    <t xml:space="preserve">Addressed</t>
  </si>
  <si>
    <t xml:space="preserve">Any underlying problems and their root causes have been identified.</t>
  </si>
  <si>
    <t xml:space="preserve">It has been confirmed that a system-based solution is needed.</t>
  </si>
  <si>
    <t xml:space="preserve">At least one solution has been proposed.</t>
  </si>
  <si>
    <t xml:space="preserve">3. Value Established</t>
  </si>
  <si>
    <t xml:space="preserve">The value of addressing the opportunity has been quantified.</t>
  </si>
  <si>
    <t xml:space="preserve">The impact of the solution on the stakeholders is understood.</t>
  </si>
  <si>
    <t xml:space="preserve">The value the system offers to those who fund and use it is understood.</t>
  </si>
  <si>
    <t xml:space="preserve">The success criteria for the deployment are clear.</t>
  </si>
  <si>
    <t xml:space="preserve">The desired outcomes are clear and quantified.</t>
  </si>
  <si>
    <t xml:space="preserve">4. Viable</t>
  </si>
  <si>
    <t xml:space="preserve">A solution has been outlined.</t>
  </si>
  <si>
    <t xml:space="preserve">The solution can be developed and deployed within the constraints.</t>
  </si>
  <si>
    <t xml:space="preserve">The risks associated with the solution are acceptable and manageable.</t>
  </si>
  <si>
    <t xml:space="preserve">The ball-park costs are less than the anticipated value of the opportunity.</t>
  </si>
  <si>
    <t xml:space="preserve">It is clear that pursuing the opportunity is viable.</t>
  </si>
  <si>
    <t xml:space="preserve">5. Addressed</t>
  </si>
  <si>
    <t xml:space="preserve">A usable system that demonstrably addresses the opportunity is available.</t>
  </si>
  <si>
    <t xml:space="preserve">The stakeholders agree the available solution is worth deploying.</t>
  </si>
  <si>
    <t xml:space="preserve">The stakeholders are satisfied the solution addresses the opportunity.</t>
  </si>
  <si>
    <t xml:space="preserve">6. Benefit Accrued</t>
  </si>
  <si>
    <t xml:space="preserve">The solution has started to accrue benefits for the stakeholders.</t>
  </si>
  <si>
    <t xml:space="preserve">The return-on-investment is at least as good as anticipated.</t>
  </si>
  <si>
    <t xml:space="preserve">The people and groups that affect or are affected by the system.</t>
  </si>
  <si>
    <t xml:space="preserve">1. Recognized</t>
  </si>
  <si>
    <t xml:space="preserve">The stakeholder groups are identified.</t>
  </si>
  <si>
    <t xml:space="preserve">Recognized</t>
  </si>
  <si>
    <t xml:space="preserve">The key stakeholder groups are represented.</t>
  </si>
  <si>
    <t xml:space="preserve">Represented</t>
  </si>
  <si>
    <t xml:space="preserve">The responsibilities of the stakeholder representatives are defined.</t>
  </si>
  <si>
    <t xml:space="preserve">Involved</t>
  </si>
  <si>
    <t xml:space="preserve">2. Represented</t>
  </si>
  <si>
    <t xml:space="preserve">The representatives have agreed their responsibilities.</t>
  </si>
  <si>
    <t xml:space="preserve">In Agreement</t>
  </si>
  <si>
    <t xml:space="preserve">The representatives are authorized to carry out their responsibilities.</t>
  </si>
  <si>
    <t xml:space="preserve">Satisfied for Deployment</t>
  </si>
  <si>
    <t xml:space="preserve">The collaboration approach among representatives is agreed.</t>
  </si>
  <si>
    <t xml:space="preserve">The team's way of working is supported and respected by the stakeholders.</t>
  </si>
  <si>
    <t xml:space="preserve">3. Involved</t>
  </si>
  <si>
    <t xml:space="preserve">The representatives assist the team in line with their responsibilities.</t>
  </si>
  <si>
    <t xml:space="preserve">The representatives provide feedback and take decisions in a timely manner.</t>
  </si>
  <si>
    <t xml:space="preserve">Changes are promptly communicated to the team and stakeholders.</t>
  </si>
  <si>
    <t xml:space="preserve">4. In Agreement</t>
  </si>
  <si>
    <t xml:space="preserve">The minimal expectations of the stakeholder groups are agreed.</t>
  </si>
  <si>
    <t xml:space="preserve">The representatives are happy with their involvement.</t>
  </si>
  <si>
    <t xml:space="preserve">The representatives' input is valued by the team.</t>
  </si>
  <si>
    <t xml:space="preserve">The team's input is valued by the representatives.</t>
  </si>
  <si>
    <t xml:space="preserve">Priorities are clear and perspectives balanced.</t>
  </si>
  <si>
    <t xml:space="preserve">5. Satisfied for Deployment</t>
  </si>
  <si>
    <t xml:space="preserve">The representatives provide feedback on the system from their group's perspective.</t>
  </si>
  <si>
    <t xml:space="preserve">The representatives confirm the system is ready for deployment.</t>
  </si>
  <si>
    <t xml:space="preserve">6. Satisfied in Use</t>
  </si>
  <si>
    <t xml:space="preserve">The stakeholders are using the system and providing feedback.</t>
  </si>
  <si>
    <t xml:space="preserve">The stakeholders confirm the system meets their expectations.</t>
  </si>
  <si>
    <t xml:space="preserve">What the system must do to address the opportunity and satisfy the stakeholders.</t>
  </si>
  <si>
    <t xml:space="preserve">Kernel · Solution</t>
  </si>
  <si>
    <t xml:space="preserve">1. Conceived</t>
  </si>
  <si>
    <t xml:space="preserve">The initial stakeholders agree a system is to be produced.</t>
  </si>
  <si>
    <t xml:space="preserve">Conceived</t>
  </si>
  <si>
    <t xml:space="preserve">The stakeholders that will use the system are identified.</t>
  </si>
  <si>
    <t xml:space="preserve">Bounded</t>
  </si>
  <si>
    <t xml:space="preserve">The stakeholders that will fund the initial work are identified.</t>
  </si>
  <si>
    <t xml:space="preserve">Coherent</t>
  </si>
  <si>
    <t xml:space="preserve">There is a clear opportunity for the system to address.</t>
  </si>
  <si>
    <t xml:space="preserve">Acceptable</t>
  </si>
  <si>
    <t xml:space="preserve">2. Bounded</t>
  </si>
  <si>
    <t xml:space="preserve">The stakeholders involved in developing the system are identified.</t>
  </si>
  <si>
    <t xml:space="preserve">The stakeholders agree on the purpose of the system.</t>
  </si>
  <si>
    <t xml:space="preserve">It is clear what success is for the system.</t>
  </si>
  <si>
    <t xml:space="preserve">There is a shared understanding of the extent of the solution.</t>
  </si>
  <si>
    <t xml:space="preserve">The way the requirements will be described is agreed.</t>
  </si>
  <si>
    <t xml:space="preserve">The mechanisms for managing requirements are in place.</t>
  </si>
  <si>
    <t xml:space="preserve">The prioritization scheme is clear.</t>
  </si>
  <si>
    <t xml:space="preserve">Constraints are identified and considered.</t>
  </si>
  <si>
    <t xml:space="preserve">Assumptions are clearly stated.</t>
  </si>
  <si>
    <t xml:space="preserve">3. Coherent</t>
  </si>
  <si>
    <t xml:space="preserve">The requirements are captured and shared with team and stakeholders.</t>
  </si>
  <si>
    <t xml:space="preserve">The origin and rationale of the requirements are clear.</t>
  </si>
  <si>
    <t xml:space="preserve">Conflicting requirements are identified and addressed.</t>
  </si>
  <si>
    <t xml:space="preserve">The requirements convey the essential characteristics of the system.</t>
  </si>
  <si>
    <t xml:space="preserve">The most important usage scenarios can be explained.</t>
  </si>
  <si>
    <t xml:space="preserve">The priority of the requirements is clear.</t>
  </si>
  <si>
    <t xml:space="preserve">The team understands what must be delivered and agrees to deliver it.</t>
  </si>
  <si>
    <t xml:space="preserve">4. Acceptable</t>
  </si>
  <si>
    <t xml:space="preserve">The stakeholders accept the requirements describe an acceptable solution.</t>
  </si>
  <si>
    <t xml:space="preserve">The rate of change to agreed requirements is low and under control.</t>
  </si>
  <si>
    <t xml:space="preserve">The value of implementing the requirements is clear.</t>
  </si>
  <si>
    <t xml:space="preserve">The requirements are testable.</t>
  </si>
  <si>
    <t xml:space="preserve">Enough requirements are addressed for the system to be acceptable.</t>
  </si>
  <si>
    <t xml:space="preserve">The implemented requirement items provide clear value.</t>
  </si>
  <si>
    <t xml:space="preserve">The system is accepted by the stakeholders as worth making operational.</t>
  </si>
  <si>
    <t xml:space="preserve">6. Fulfilled</t>
  </si>
  <si>
    <t xml:space="preserve">The stakeholders accept the requirements capture what they need.</t>
  </si>
  <si>
    <t xml:space="preserve">No outstanding requirement items prevent acceptance.</t>
  </si>
  <si>
    <t xml:space="preserve">The system fully satisfies the requirements.</t>
  </si>
  <si>
    <t xml:space="preserve">The system that delivers value — software, configured products, hardware, data and services. A generalisation of Essence's Software System.</t>
  </si>
  <si>
    <t xml:space="preserve">1. Architecture Selected</t>
  </si>
  <si>
    <t xml:space="preserve">The criteria for selecting the architecture are agreed.</t>
  </si>
  <si>
    <t xml:space="preserve">Architecture Selected</t>
  </si>
  <si>
    <t xml:space="preserve">The architecture's key concepts and properties are clearly defined.</t>
  </si>
  <si>
    <t xml:space="preserve">Demonstrable</t>
  </si>
  <si>
    <t xml:space="preserve">The selected architecture is clearly conceived.</t>
  </si>
  <si>
    <t xml:space="preserve">Usable</t>
  </si>
  <si>
    <t xml:space="preserve">The system boundary is known.</t>
  </si>
  <si>
    <t xml:space="preserve">Ready</t>
  </si>
  <si>
    <t xml:space="preserve">Significant decisions about the system's organization have been made.</t>
  </si>
  <si>
    <t xml:space="preserve">Buy, build, and reuse decisions have been made.</t>
  </si>
  <si>
    <t xml:space="preserve">Retired</t>
  </si>
  <si>
    <t xml:space="preserve">The key technical risks are agreed.</t>
  </si>
  <si>
    <t xml:space="preserve">2. Demonstrable</t>
  </si>
  <si>
    <t xml:space="preserve">The key architectural characteristics have been demonstrated.</t>
  </si>
  <si>
    <t xml:space="preserve">The system can be exercised and its performance measured.</t>
  </si>
  <si>
    <t xml:space="preserve">Critical configurations of the architecture have been demonstrated.</t>
  </si>
  <si>
    <t xml:space="preserve">Critical interfaces have been demonstrated.</t>
  </si>
  <si>
    <t xml:space="preserve">Integration with other existing systems has been demonstrated.</t>
  </si>
  <si>
    <t xml:space="preserve">Relevant stakeholders agree the demonstrated architecture is appropriate.</t>
  </si>
  <si>
    <t xml:space="preserve">3. Usable</t>
  </si>
  <si>
    <t xml:space="preserve">The system can be operated by the stakeholders who use it.</t>
  </si>
  <si>
    <t xml:space="preserve">The functionality provided by the system has been tested.</t>
  </si>
  <si>
    <t xml:space="preserve">The system's performance is acceptable to the stakeholders.</t>
  </si>
  <si>
    <t xml:space="preserve">Defect levels are acceptable to the stakeholders.</t>
  </si>
  <si>
    <t xml:space="preserve">The system is sufficiently documented.</t>
  </si>
  <si>
    <t xml:space="preserve">The released system elements are known.</t>
  </si>
  <si>
    <t xml:space="preserve">The added value provided by the system is clear.</t>
  </si>
  <si>
    <t xml:space="preserve">4. Ready</t>
  </si>
  <si>
    <t xml:space="preserve">Documentation on deploying and using the system in its intended environment is available.</t>
  </si>
  <si>
    <t xml:space="preserve">The stakeholder representatives accept the system as fit-for-purpose.</t>
  </si>
  <si>
    <t xml:space="preserve">The stakeholder representatives want to make the system available for use.</t>
  </si>
  <si>
    <t xml:space="preserve">Operational support is in place.</t>
  </si>
  <si>
    <t xml:space="preserve">5. Operational</t>
  </si>
  <si>
    <t xml:space="preserve">The system has been made available to its intended stakeholders.</t>
  </si>
  <si>
    <t xml:space="preserve">At least one instance of the system is fully operational.</t>
  </si>
  <si>
    <t xml:space="preserve">The system is fully supported to the agreed service levels.</t>
  </si>
  <si>
    <t xml:space="preserve">6. Retired</t>
  </si>
  <si>
    <t xml:space="preserve">The system has been replaced or discontinued.</t>
  </si>
  <si>
    <t xml:space="preserve">The system is no longer supported.</t>
  </si>
  <si>
    <t xml:space="preserve">There are no official stakeholders still using the system.</t>
  </si>
  <si>
    <t xml:space="preserve">Updates to the system will no longer be produced.</t>
  </si>
  <si>
    <t xml:space="preserve">The activity and effort applied to produce the result.</t>
  </si>
  <si>
    <t xml:space="preserve">Kernel · Endeavor</t>
  </si>
  <si>
    <t xml:space="preserve">1. Initiated</t>
  </si>
  <si>
    <t xml:space="preserve">The constraints and funding context are clear.</t>
  </si>
  <si>
    <t xml:space="preserve">Initiated</t>
  </si>
  <si>
    <t xml:space="preserve">The sponsors are identified.</t>
  </si>
  <si>
    <t xml:space="preserve">Prepared</t>
  </si>
  <si>
    <t xml:space="preserve">The priority is clear.</t>
  </si>
  <si>
    <t xml:space="preserve">Started</t>
  </si>
  <si>
    <t xml:space="preserve">The work has been requested.</t>
  </si>
  <si>
    <t xml:space="preserve">Under Control</t>
  </si>
  <si>
    <t xml:space="preserve">2. Prepared</t>
  </si>
  <si>
    <t xml:space="preserve">A credible plan and estimate are in place.</t>
  </si>
  <si>
    <t xml:space="preserve">Concluded</t>
  </si>
  <si>
    <t xml:space="preserve">Funding and resources are committed.</t>
  </si>
  <si>
    <t xml:space="preserve">Key risks are identified and being addressed.</t>
  </si>
  <si>
    <t xml:space="preserve">The criteria for success are agreed.</t>
  </si>
  <si>
    <t xml:space="preserve">Governance and the way of working are in place.</t>
  </si>
  <si>
    <t xml:space="preserve">3. Started</t>
  </si>
  <si>
    <t xml:space="preserve">The work has started and progress is being monitored.</t>
  </si>
  <si>
    <t xml:space="preserve">The team is performing the work.</t>
  </si>
  <si>
    <t xml:space="preserve">Tasks are being completed.</t>
  </si>
  <si>
    <t xml:space="preserve">4. Under Control</t>
  </si>
  <si>
    <t xml:space="preserve">Tasks are being completed and risks are under control.</t>
  </si>
  <si>
    <t xml:space="preserve">Estimates are updated and re-work is under control.</t>
  </si>
  <si>
    <t xml:space="preserve">Measures of progress and velocity are available.</t>
  </si>
  <si>
    <t xml:space="preserve">5. Concluded</t>
  </si>
  <si>
    <t xml:space="preserve">The work to produce the results has concluded.</t>
  </si>
  <si>
    <t xml:space="preserve">The results have been achieved and accepted by the stakeholders.</t>
  </si>
  <si>
    <t xml:space="preserve">6. Closed</t>
  </si>
  <si>
    <t xml:space="preserve">Everything has been archived and lessons captured.</t>
  </si>
  <si>
    <t xml:space="preserve">The budget is reconciled and the team released.</t>
  </si>
  <si>
    <t xml:space="preserve">The group actively developing, maintaining and supporting the system.</t>
  </si>
  <si>
    <t xml:space="preserve">1. Seeded</t>
  </si>
  <si>
    <t xml:space="preserve">The team mission is defined.</t>
  </si>
  <si>
    <t xml:space="preserve">Seeded</t>
  </si>
  <si>
    <t xml:space="preserve">The constraints on the team are known.</t>
  </si>
  <si>
    <t xml:space="preserve">Formed</t>
  </si>
  <si>
    <t xml:space="preserve">The required competencies are identified.</t>
  </si>
  <si>
    <t xml:space="preserve">Collaborating</t>
  </si>
  <si>
    <t xml:space="preserve">The leadership and governance model is selected.</t>
  </si>
  <si>
    <t xml:space="preserve">The team size and composition are agreed.</t>
  </si>
  <si>
    <t xml:space="preserve">Adjourned</t>
  </si>
  <si>
    <t xml:space="preserve">2. Formed</t>
  </si>
  <si>
    <t xml:space="preserve">Enough team members are recruited to start.</t>
  </si>
  <si>
    <t xml:space="preserve">The roles and responsibilities are understood.</t>
  </si>
  <si>
    <t xml:space="preserve">The members understand how to work together.</t>
  </si>
  <si>
    <t xml:space="preserve">The members are committed.</t>
  </si>
  <si>
    <t xml:space="preserve">3. Collaborating</t>
  </si>
  <si>
    <t xml:space="preserve">The team works as one cohesive unit.</t>
  </si>
  <si>
    <t xml:space="preserve">Communication is open and honest.</t>
  </si>
  <si>
    <t xml:space="preserve">The team is focused on achieving the mission.</t>
  </si>
  <si>
    <t xml:space="preserve">4. Performing</t>
  </si>
  <si>
    <t xml:space="preserve">The team consistently meets its commitments.</t>
  </si>
  <si>
    <t xml:space="preserve">The team adapts to the changing context.</t>
  </si>
  <si>
    <t xml:space="preserve">The team identifies and addresses problems without outside help.</t>
  </si>
  <si>
    <t xml:space="preserve">5. Adjourned</t>
  </si>
  <si>
    <t xml:space="preserve">The team's responsibilities have been handed over or fulfilled.</t>
  </si>
  <si>
    <t xml:space="preserve">The resources have been released.</t>
  </si>
  <si>
    <t xml:space="preserve">The tailored set of practices and tools the team uses to guide its work.</t>
  </si>
  <si>
    <t xml:space="preserve">1. Principles Established</t>
  </si>
  <si>
    <t xml:space="preserve">The principles and constraints are committed to by the team.</t>
  </si>
  <si>
    <t xml:space="preserve">Principles Established</t>
  </si>
  <si>
    <t xml:space="preserve">The principles are agreed by the stakeholders.</t>
  </si>
  <si>
    <t xml:space="preserve">Foundation Established</t>
  </si>
  <si>
    <t xml:space="preserve">The tool and practice needs are understood.</t>
  </si>
  <si>
    <t xml:space="preserve">In Use</t>
  </si>
  <si>
    <t xml:space="preserve">2. Foundation Established</t>
  </si>
  <si>
    <t xml:space="preserve">The key practices and tools are selected and integrated enough to start.</t>
  </si>
  <si>
    <t xml:space="preserve">In Place</t>
  </si>
  <si>
    <t xml:space="preserve">The non-negotiable practices are agreed.</t>
  </si>
  <si>
    <t xml:space="preserve">The capability gaps are understood.</t>
  </si>
  <si>
    <t xml:space="preserve">3. In Use</t>
  </si>
  <si>
    <t xml:space="preserve">The practices and tools are in use by the team.</t>
  </si>
  <si>
    <t xml:space="preserve">The team is adapting the way of working to its needs.</t>
  </si>
  <si>
    <t xml:space="preserve">Feedback mechanisms are in place.</t>
  </si>
  <si>
    <t xml:space="preserve">4. In Place</t>
  </si>
  <si>
    <t xml:space="preserve">The whole team is using the way of working.</t>
  </si>
  <si>
    <t xml:space="preserve">The team has access to the tools.</t>
  </si>
  <si>
    <t xml:space="preserve">The way of working is regularly inspected.</t>
  </si>
  <si>
    <t xml:space="preserve">5. Working Well</t>
  </si>
  <si>
    <t xml:space="preserve">The team predictably delivers using the way of working.</t>
  </si>
  <si>
    <t xml:space="preserve">The practices are applied naturally and tuned continuously.</t>
  </si>
  <si>
    <t xml:space="preserve">The team continuously improves the way of working.</t>
  </si>
  <si>
    <t xml:space="preserve">The way of working is no longer in use.</t>
  </si>
  <si>
    <t xml:space="preserve">The lessons learned have been captured.</t>
  </si>
  <si>
    <t xml:space="preserve">The significant concerns, goals, constraints and quality attributes that shape the architecture.</t>
  </si>
  <si>
    <t xml:space="preserve">MVA · Solution</t>
  </si>
  <si>
    <t xml:space="preserve">The architecturally-significant concerns and their owners are surfaced.</t>
  </si>
  <si>
    <t xml:space="preserve">A candidate list of drivers exists.</t>
  </si>
  <si>
    <t xml:space="preserve">Prioritised</t>
  </si>
  <si>
    <t xml:space="preserve">2. Prioritised</t>
  </si>
  <si>
    <t xml:space="preserve">The significant few drivers are agreed and ranked.</t>
  </si>
  <si>
    <t xml:space="preserve">Quantified</t>
  </si>
  <si>
    <t xml:space="preserve">The trivial many are explicitly deferred.</t>
  </si>
  <si>
    <t xml:space="preserve">3. Quantified</t>
  </si>
  <si>
    <t xml:space="preserve">Each significant driver has a measurable success criterion.</t>
  </si>
  <si>
    <t xml:space="preserve">The criteria are agreed with the stakeholders.</t>
  </si>
  <si>
    <t xml:space="preserve">4. Addressed</t>
  </si>
  <si>
    <t xml:space="preserve">The drivers are reflected in the decisions and the architecture.</t>
  </si>
  <si>
    <t xml:space="preserve">Evidence shows the drivers are being met.</t>
  </si>
  <si>
    <t xml:space="preserve">5. Sustained</t>
  </si>
  <si>
    <t xml:space="preserve">The drivers are monitored as the context changes.</t>
  </si>
  <si>
    <t xml:space="preserve">The drivers are re-validated and updated when needed.</t>
  </si>
  <si>
    <t xml:space="preserve">The minimum set of structures, building blocks and views needed to satisfy the significant drivers and enable delivery.</t>
  </si>
  <si>
    <t xml:space="preserve">1. Envisioned</t>
  </si>
  <si>
    <t xml:space="preserve">The target direction, scope and value are agreed on a page.</t>
  </si>
  <si>
    <t xml:space="preserve">Envisioned</t>
  </si>
  <si>
    <t xml:space="preserve">The key stakeholders share the vision.</t>
  </si>
  <si>
    <t xml:space="preserve">Outlined</t>
  </si>
  <si>
    <t xml:space="preserve">2. Outlined</t>
  </si>
  <si>
    <t xml:space="preserve">The minimum viable structure, boundaries and interfaces are defined.</t>
  </si>
  <si>
    <t xml:space="preserve">Demonstrated</t>
  </si>
  <si>
    <t xml:space="preserve">Only the building blocks needed now are included.</t>
  </si>
  <si>
    <t xml:space="preserve">3. Demonstrated</t>
  </si>
  <si>
    <t xml:space="preserve">The riskiest parts are proven via spike, reference or increment.</t>
  </si>
  <si>
    <t xml:space="preserve">The key decisions are validated by evidence.</t>
  </si>
  <si>
    <t xml:space="preserve">Evolving</t>
  </si>
  <si>
    <t xml:space="preserve">4. Usable</t>
  </si>
  <si>
    <t xml:space="preserve">The architecture is actively guiding and constraining delivery.</t>
  </si>
  <si>
    <t xml:space="preserve">The teams are building within it.</t>
  </si>
  <si>
    <t xml:space="preserve">5. Established</t>
  </si>
  <si>
    <t xml:space="preserve">The architecture is in operation and delivering the intended outcomes.</t>
  </si>
  <si>
    <t xml:space="preserve">6. Evolving</t>
  </si>
  <si>
    <t xml:space="preserve">The architecture is changing under managed, continuous adaptation.</t>
  </si>
  <si>
    <t xml:space="preserve">Change is handled without big-bang rework.</t>
  </si>
  <si>
    <t xml:space="preserve">The significant, costly-to-reverse choices that are the architecture.</t>
  </si>
  <si>
    <t xml:space="preserve">1. Needed</t>
  </si>
  <si>
    <t xml:space="preserve">A significant, costly-to-reverse decision point is recognised and owned.</t>
  </si>
  <si>
    <t xml:space="preserve">Needed</t>
  </si>
  <si>
    <t xml:space="preserve">2. Framed</t>
  </si>
  <si>
    <t xml:space="preserve">The options, trade-offs and the last responsible moment are understood.</t>
  </si>
  <si>
    <t xml:space="preserve">Framed</t>
  </si>
  <si>
    <t xml:space="preserve">3. Decided</t>
  </si>
  <si>
    <t xml:space="preserve">The choice is made and recorded with rationale and consequences (ADR).</t>
  </si>
  <si>
    <t xml:space="preserve">Decided</t>
  </si>
  <si>
    <t xml:space="preserve">4. Communicated</t>
  </si>
  <si>
    <t xml:space="preserve">The decision is known and accepted by those it affects.</t>
  </si>
  <si>
    <t xml:space="preserve">Communicated</t>
  </si>
  <si>
    <t xml:space="preserve">5. Validated</t>
  </si>
  <si>
    <t xml:space="preserve">The decision is proven by evidence and outcome, or revisited.</t>
  </si>
  <si>
    <t xml:space="preserve">ENTERPRISE</t>
  </si>
  <si>
    <t xml:space="preserve">The reusable service chassis of approved products, patterns and standards that makes the compliant choice the easy one.</t>
  </si>
  <si>
    <t xml:space="preserve">The need for a paved road is recognised.</t>
  </si>
  <si>
    <t xml:space="preserve">A first approved default or two exists.</t>
  </si>
  <si>
    <t xml:space="preserve">2. Established</t>
  </si>
  <si>
    <t xml:space="preserve">A coherent service chassis of approved products, patterns and standards is published.</t>
  </si>
  <si>
    <t xml:space="preserve">Adopted</t>
  </si>
  <si>
    <t xml:space="preserve">The paved road is self-serviceable.</t>
  </si>
  <si>
    <t xml:space="preserve">3. Adopted</t>
  </si>
  <si>
    <t xml:space="preserve">Teams build on the paved road by default.</t>
  </si>
  <si>
    <t xml:space="preserve">On-road choices need no review.</t>
  </si>
  <si>
    <t xml:space="preserve">4. Pervasive</t>
  </si>
  <si>
    <t xml:space="preserve">The paved road is the norm across the estate.</t>
  </si>
  <si>
    <t xml:space="preserve">Going off-road is the rare, justified exception.</t>
  </si>
  <si>
    <t xml:space="preserve">5. Evolving</t>
  </si>
  <si>
    <t xml:space="preserve">The paved road is continuously widened and pruned.</t>
  </si>
  <si>
    <t xml:space="preserve">Learnings from reviews feed back into it.</t>
  </si>
  <si>
    <t xml:space="preserve">SPANS LEVELS</t>
  </si>
  <si>
    <t xml:space="preserve">The lightweight decision rights, guardrails and assurance that keep delivery aligned with intent.</t>
  </si>
  <si>
    <t xml:space="preserve">MVG · Endeavor</t>
  </si>
  <si>
    <t xml:space="preserve">The decision rights and minimal guardrails are agreed.</t>
  </si>
  <si>
    <t xml:space="preserve">It is clear who decides what.</t>
  </si>
  <si>
    <t xml:space="preserve">Engaged</t>
  </si>
  <si>
    <t xml:space="preserve">2. Engaged</t>
  </si>
  <si>
    <t xml:space="preserve">A lean governance cadence operates.</t>
  </si>
  <si>
    <t xml:space="preserve">Guiding</t>
  </si>
  <si>
    <t xml:space="preserve">The teams know the guardrails.</t>
  </si>
  <si>
    <t xml:space="preserve">Assured</t>
  </si>
  <si>
    <t xml:space="preserve">3. Guiding</t>
  </si>
  <si>
    <t xml:space="preserve">Decisions flow within the guardrails.</t>
  </si>
  <si>
    <t xml:space="preserve">Only exceptions are escalated.</t>
  </si>
  <si>
    <t xml:space="preserve">4. Assured</t>
  </si>
  <si>
    <t xml:space="preserve">Conformance is evidenced where it genuinely matters.</t>
  </si>
  <si>
    <t xml:space="preserve">The architecture reviews are acted upon.</t>
  </si>
  <si>
    <t xml:space="preserve">5. Effective</t>
  </si>
  <si>
    <t xml:space="preserve">Governance demonstrably enables delivery.</t>
  </si>
  <si>
    <t xml:space="preserve">The governance itself is continuously tuned and lightened.</t>
  </si>
  <si>
    <t xml:space="preserve">The structured understanding of the business need, progressing through the method's phases until it can drive the architecture.</t>
  </si>
  <si>
    <t xml:space="preserve">Business Scenarios · Customer</t>
  </si>
  <si>
    <t xml:space="preserve">1. Premise Formed</t>
  </si>
  <si>
    <t xml:space="preserve">The business premise — problem, environment and objectives — is captured.</t>
  </si>
  <si>
    <t xml:space="preserve">Premise Formed</t>
  </si>
  <si>
    <t xml:space="preserve">The customer and their goal are clear.</t>
  </si>
  <si>
    <t xml:space="preserve">Verified</t>
  </si>
  <si>
    <t xml:space="preserve">2. Verified</t>
  </si>
  <si>
    <t xml:space="preserve">The five elements (problem, environment, outcomes, human and system actors) are gathered.</t>
  </si>
  <si>
    <t xml:space="preserve">Refined</t>
  </si>
  <si>
    <t xml:space="preserve">An initial model is verified with the stakeholders.</t>
  </si>
  <si>
    <t xml:space="preserve">3. Refined</t>
  </si>
  <si>
    <t xml:space="preserve">The objectives are made SMART.</t>
  </si>
  <si>
    <t xml:space="preserve">The scenario is refined to fit-for-purpose with the stakeholders.</t>
  </si>
  <si>
    <t xml:space="preserve">4. Released</t>
  </si>
  <si>
    <t xml:space="preserve">The Business Scenario is documented and signed off.</t>
  </si>
  <si>
    <t xml:space="preserve">It is ready to drive the architecture.</t>
  </si>
  <si>
    <t xml:space="preserve">A map of one service journey across all its layers, sliced and progressed like a use case.</t>
  </si>
  <si>
    <t xml:space="preserve">Service Blueprint · Customer</t>
  </si>
  <si>
    <t xml:space="preserve">1. Scoped</t>
  </si>
  <si>
    <t xml:space="preserve">The service journey and customer to blueprint are chosen and bounded.</t>
  </si>
  <si>
    <t xml:space="preserve">Scoped</t>
  </si>
  <si>
    <t xml:space="preserve">Frontstage Mapped</t>
  </si>
  <si>
    <t xml:space="preserve">2. Frontstage Mapped</t>
  </si>
  <si>
    <t xml:space="preserve">The customer-actions row and frontstage touchpoints are laid out across the line of interaction.</t>
  </si>
  <si>
    <t xml:space="preserve">Blueprinted</t>
  </si>
  <si>
    <t xml:space="preserve">The physical evidence is captured.</t>
  </si>
  <si>
    <t xml:space="preserve">3. Blueprinted</t>
  </si>
  <si>
    <t xml:space="preserve">Backstage actions and support processes / systems are added below the lines of visibility and internal interaction.</t>
  </si>
  <si>
    <t xml:space="preserve">The blueprint is complete across all three lines.</t>
  </si>
  <si>
    <t xml:space="preserve">4. Validated</t>
  </si>
  <si>
    <t xml:space="preserve">The blueprint is walked through with customers and staff.</t>
  </si>
  <si>
    <t xml:space="preserve">Fail points, waits and hand-offs are surfaced and agreed.</t>
  </si>
  <si>
    <t xml:space="preserve">5. In Operation</t>
  </si>
  <si>
    <t xml:space="preserve">The service is delivered to the blueprint.</t>
  </si>
  <si>
    <t xml:space="preserve">The blueprint is kept live as the service evolves.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</si>
</sst>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5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Calibri"/>
      <family val="0"/>
      <charset val="1"/>
    </font>
    <font>
      <i val="true"/>
      <sz val="11"/>
      <color rgb="FF5B6472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20"/>
      <color rgb="FF0F6E63"/>
      <name val="Calibri"/>
      <family val="0"/>
      <charset val="1"/>
    </font>
    <font>
      <b val="true"/>
      <sz val="20"/>
      <color rgb="FF4B3F9E"/>
      <name val="Calibri"/>
      <family val="0"/>
      <charset val="1"/>
    </font>
    <font>
      <b val="true"/>
      <sz val="20"/>
      <color rgb="FF0E749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u val="single"/>
      <sz val="10.5"/>
      <color rgb="FF27406B"/>
      <name val="Calibri"/>
      <family val="0"/>
      <charset val="1"/>
    </font>
    <font>
      <b val="true"/>
      <sz val="8.5"/>
      <color rgb="FFFFFFFF"/>
      <name val="Calibri"/>
      <family val="0"/>
      <charset val="1"/>
    </font>
    <font>
      <sz val="10"/>
      <color rgb="FF1C2433"/>
      <name val="Calibri"/>
      <family val="0"/>
      <charset val="1"/>
    </font>
    <font>
      <b val="true"/>
      <sz val="10"/>
      <color rgb="FF5B6472"/>
      <name val="Calibri"/>
      <family val="0"/>
      <charset val="1"/>
    </font>
    <font>
      <sz val="9.5"/>
      <color rgb="FF5B6472"/>
      <name val="Calibri"/>
      <family val="0"/>
      <charset val="1"/>
    </font>
    <font>
      <b val="true"/>
      <sz val="9.5"/>
      <name val="Calibri"/>
      <family val="0"/>
      <charset val="1"/>
    </font>
    <font>
      <b val="true"/>
      <u val="single"/>
      <sz val="10.5"/>
      <color rgb="FF0E7490"/>
      <name val="Calibri"/>
      <family val="0"/>
      <charset val="1"/>
    </font>
    <font>
      <b val="true"/>
      <u val="single"/>
      <sz val="10.5"/>
      <color rgb="FFB21E63"/>
      <name val="Calibri"/>
      <family val="0"/>
      <charset val="1"/>
    </font>
    <font>
      <b val="true"/>
      <u val="single"/>
      <sz val="10.5"/>
      <color rgb="FF0F6E63"/>
      <name val="Calibri"/>
      <family val="0"/>
      <charset val="1"/>
    </font>
    <font>
      <b val="true"/>
      <u val="single"/>
      <sz val="10.5"/>
      <color rgb="FF4B3F9E"/>
      <name val="Calibri"/>
      <family val="0"/>
      <charset val="1"/>
    </font>
    <font>
      <i val="true"/>
      <sz val="9"/>
      <color rgb="FF5B6472"/>
      <name val="Calibri"/>
      <family val="0"/>
      <charset val="1"/>
    </font>
    <font>
      <sz val="8.5"/>
      <color rgb="FF5B6472"/>
      <name val="Calibri"/>
      <family val="0"/>
      <charset val="1"/>
    </font>
    <font>
      <b val="true"/>
      <u val="single"/>
      <sz val="9"/>
      <color rgb="FF27406B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sz val="10.5"/>
      <color rgb="FF1C2433"/>
      <name val="Calibri"/>
      <family val="0"/>
      <charset val="1"/>
    </font>
    <font>
      <sz val="10.5"/>
      <color rgb="FFFFFFFF"/>
      <name val="Calibri"/>
      <family val="0"/>
      <charset val="1"/>
    </font>
    <font>
      <i val="true"/>
      <sz val="9.5"/>
      <color rgb="FF5B6472"/>
      <name val="Calibri"/>
      <family val="0"/>
      <charset val="1"/>
    </font>
    <font>
      <b val="true"/>
      <sz val="9.5"/>
      <color rgb="FF27406B"/>
      <name val="Calibri"/>
      <family val="0"/>
      <charset val="1"/>
    </font>
    <font>
      <sz val="9.5"/>
      <color rgb="FF1C2433"/>
      <name val="Calibri"/>
      <family val="0"/>
      <charset val="1"/>
    </font>
    <font>
      <b val="true"/>
      <sz val="9.5"/>
      <color rgb="FF0F6E63"/>
      <name val="Calibri"/>
      <family val="0"/>
      <charset val="1"/>
    </font>
    <font>
      <i val="true"/>
      <sz val="10.5"/>
      <color rgb="FF5B6472"/>
      <name val="Calibri"/>
      <family val="0"/>
      <charset val="1"/>
    </font>
    <font>
      <b val="true"/>
      <sz val="8"/>
      <color rgb="FF5B6472"/>
      <name val="Calibri"/>
      <family val="0"/>
      <charset val="1"/>
    </font>
    <font>
      <b val="true"/>
      <sz val="12"/>
      <color rgb="FF27406B"/>
      <name val="Calibri"/>
      <family val="0"/>
      <charset val="1"/>
    </font>
    <font>
      <b val="true"/>
      <sz val="14"/>
      <color rgb="FF27406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E7A4D"/>
      <name val="Calibri"/>
      <family val="0"/>
      <charset val="1"/>
    </font>
    <font>
      <b val="true"/>
      <sz val="11"/>
      <color rgb="FF8A6D1A"/>
      <name val="Calibri"/>
      <family val="0"/>
      <charset val="1"/>
    </font>
    <font>
      <b val="true"/>
      <u val="single"/>
      <sz val="9"/>
      <color rgb="FF0F6E63"/>
      <name val="Calibri"/>
      <family val="0"/>
      <charset val="1"/>
    </font>
    <font>
      <b val="true"/>
      <sz val="12"/>
      <color rgb="FF0F6E63"/>
      <name val="Calibri"/>
      <family val="0"/>
      <charset val="1"/>
    </font>
    <font>
      <b val="true"/>
      <sz val="14"/>
      <color rgb="FF0F6E63"/>
      <name val="Calibri"/>
      <family val="0"/>
      <charset val="1"/>
    </font>
    <font>
      <b val="true"/>
      <u val="single"/>
      <sz val="9"/>
      <color rgb="FF4B3F9E"/>
      <name val="Calibri"/>
      <family val="0"/>
      <charset val="1"/>
    </font>
    <font>
      <b val="true"/>
      <sz val="12"/>
      <color rgb="FF4B3F9E"/>
      <name val="Calibri"/>
      <family val="0"/>
      <charset val="1"/>
    </font>
    <font>
      <b val="true"/>
      <sz val="14"/>
      <color rgb="FF4B3F9E"/>
      <name val="Calibri"/>
      <family val="0"/>
      <charset val="1"/>
    </font>
    <font>
      <b val="true"/>
      <sz val="9.5"/>
      <color rgb="FF4B3F9E"/>
      <name val="Calibri"/>
      <family val="0"/>
      <charset val="1"/>
    </font>
    <font>
      <b val="true"/>
      <u val="single"/>
      <sz val="9"/>
      <color rgb="FF0E7490"/>
      <name val="Calibri"/>
      <family val="0"/>
      <charset val="1"/>
    </font>
    <font>
      <b val="true"/>
      <sz val="12"/>
      <color rgb="FF0E7490"/>
      <name val="Calibri"/>
      <family val="0"/>
      <charset val="1"/>
    </font>
    <font>
      <b val="true"/>
      <sz val="14"/>
      <color rgb="FF0E7490"/>
      <name val="Calibri"/>
      <family val="0"/>
      <charset val="1"/>
    </font>
    <font>
      <b val="true"/>
      <sz val="9.5"/>
      <color rgb="FF0E7490"/>
      <name val="Calibri"/>
      <family val="0"/>
      <charset val="1"/>
    </font>
    <font>
      <b val="true"/>
      <u val="single"/>
      <sz val="9"/>
      <color rgb="FFB21E63"/>
      <name val="Calibri"/>
      <family val="0"/>
      <charset val="1"/>
    </font>
    <font>
      <b val="true"/>
      <sz val="12"/>
      <color rgb="FFB21E63"/>
      <name val="Calibri"/>
      <family val="0"/>
      <charset val="1"/>
    </font>
    <font>
      <b val="true"/>
      <sz val="14"/>
      <color rgb="FFB21E63"/>
      <name val="Calibri"/>
      <family val="0"/>
      <charset val="1"/>
    </font>
    <font>
      <b val="true"/>
      <sz val="9.5"/>
      <color rgb="FFB21E63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C2433"/>
        <bgColor rgb="FF333300"/>
      </patternFill>
    </fill>
    <fill>
      <patternFill patternType="solid">
        <fgColor rgb="FF0F6E63"/>
        <bgColor rgb="FF1E7A4D"/>
      </patternFill>
    </fill>
    <fill>
      <patternFill patternType="solid">
        <fgColor rgb="FF4B3F9E"/>
        <bgColor rgb="FF27406B"/>
      </patternFill>
    </fill>
    <fill>
      <patternFill patternType="solid">
        <fgColor rgb="FF0E7490"/>
        <bgColor rgb="FF0F6E63"/>
      </patternFill>
    </fill>
    <fill>
      <patternFill patternType="solid">
        <fgColor rgb="FFDDEAE9"/>
        <bgColor rgb="FFDDEBEF"/>
      </patternFill>
    </fill>
    <fill>
      <patternFill patternType="solid">
        <fgColor rgb="FFE5E4F1"/>
        <bgColor rgb="FFE0E4EA"/>
      </patternFill>
    </fill>
    <fill>
      <patternFill patternType="solid">
        <fgColor rgb="FFDDEBEF"/>
        <bgColor rgb="FFDDEAE9"/>
      </patternFill>
    </fill>
    <fill>
      <patternFill patternType="solid">
        <fgColor rgb="FF2E7D52"/>
        <bgColor rgb="FF1E7A4D"/>
      </patternFill>
    </fill>
    <fill>
      <patternFill patternType="solid">
        <fgColor rgb="FF27406B"/>
        <bgColor rgb="FF4B3F9E"/>
      </patternFill>
    </fill>
    <fill>
      <patternFill patternType="solid">
        <fgColor rgb="FFB21E63"/>
        <bgColor rgb="FF993366"/>
      </patternFill>
    </fill>
    <fill>
      <patternFill patternType="solid">
        <fgColor rgb="FFB07D12"/>
        <bgColor rgb="FF8A6D1A"/>
      </patternFill>
    </fill>
    <fill>
      <patternFill patternType="solid">
        <fgColor rgb="FF2A5E9C"/>
        <bgColor rgb="FF0E7490"/>
      </patternFill>
    </fill>
    <fill>
      <patternFill patternType="solid">
        <fgColor rgb="FF6B6256"/>
        <bgColor rgb="FF5B6472"/>
      </patternFill>
    </fill>
    <fill>
      <patternFill patternType="solid">
        <fgColor rgb="FFE0E4EA"/>
        <bgColor rgb="FFE5E4F1"/>
      </patternFill>
    </fill>
    <fill>
      <patternFill patternType="solid">
        <fgColor rgb="FFFFFFFF"/>
        <bgColor rgb="FFF4F2EC"/>
      </patternFill>
    </fill>
    <fill>
      <patternFill patternType="solid">
        <fgColor rgb="FFFBF0D8"/>
        <bgColor rgb="FFF4F2EC"/>
      </patternFill>
    </fill>
    <fill>
      <patternFill patternType="solid">
        <fgColor rgb="FFF4F2EC"/>
        <bgColor rgb="FFEFEDE6"/>
      </patternFill>
    </fill>
    <fill>
      <patternFill patternType="solid">
        <fgColor rgb="FFF4DFE9"/>
        <bgColor rgb="FFE5E4F1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27406B"/>
      </bottom>
      <diagonal/>
    </border>
    <border diagonalUp="false" diagonalDown="false">
      <left/>
      <right/>
      <top style="thin">
        <color rgb="FFFFFFFF"/>
      </top>
      <bottom style="thin">
        <color rgb="FFFFFFFF"/>
      </bottom>
      <diagonal/>
    </border>
    <border diagonalUp="false" diagonalDown="false">
      <left style="hair">
        <color rgb="FFD8D0BF"/>
      </left>
      <right style="hair">
        <color rgb="FFD8D0BF"/>
      </right>
      <top style="hair">
        <color rgb="FFD8D0BF"/>
      </top>
      <bottom style="hair">
        <color rgb="FFD8D0BF"/>
      </bottom>
      <diagonal/>
    </border>
    <border diagonalUp="false" diagonalDown="false">
      <left/>
      <right/>
      <top/>
      <bottom style="hair">
        <color rgb="FFD8D0BF"/>
      </bottom>
      <diagonal/>
    </border>
    <border diagonalUp="false" diagonalDown="false">
      <left/>
      <right/>
      <top/>
      <bottom style="thin">
        <color rgb="FF0F6E63"/>
      </bottom>
      <diagonal/>
    </border>
    <border diagonalUp="false" diagonalDown="false">
      <left/>
      <right/>
      <top/>
      <bottom style="thin">
        <color rgb="FF4B3F9E"/>
      </bottom>
      <diagonal/>
    </border>
    <border diagonalUp="false" diagonalDown="false">
      <left/>
      <right/>
      <top/>
      <bottom style="thin">
        <color rgb="FF0E7490"/>
      </bottom>
      <diagonal/>
    </border>
    <border diagonalUp="false" diagonalDown="false">
      <left/>
      <right/>
      <top/>
      <bottom style="thin">
        <color rgb="FFB21E6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1" shrinkToFit="false"/>
      <protection locked="true" hidden="false"/>
    </xf>
    <xf numFmtId="164" fontId="10" fillId="9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0" fillId="1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4" fillId="1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6" fillId="1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6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6" fillId="1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7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8" borderId="4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4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39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3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37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4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3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4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4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46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7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4" fillId="11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0" fillId="1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1" fillId="1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1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Calibri"/>
        <charset val="1"/>
        <family val="0"/>
        <b val="1"/>
        <color rgb="FF1E7A4D"/>
        <sz val="9"/>
      </font>
      <fill>
        <patternFill>
          <bgColor rgb="FFD6F0E2"/>
        </patternFill>
      </fill>
    </dxf>
    <dxf>
      <font>
        <name val="Calibri"/>
        <charset val="1"/>
        <family val="0"/>
        <b val="1"/>
        <color rgb="FF8A6D1A"/>
        <sz val="9"/>
      </font>
      <fill>
        <patternFill>
          <bgColor rgb="FFFBF0D8"/>
        </patternFill>
      </fill>
    </dxf>
    <dxf>
      <font>
        <name val="Calibri"/>
        <charset val="1"/>
        <family val="0"/>
        <b val="1"/>
        <color rgb="FF5B6472"/>
        <sz val="9"/>
      </font>
      <fill>
        <patternFill>
          <bgColor rgb="FFEFEDE6"/>
        </patternFill>
      </fill>
    </dxf>
    <dxf>
      <font>
        <name val="Calibri"/>
        <charset val="1"/>
        <family val="0"/>
        <b val="1"/>
        <color rgb="FF1E7A4D"/>
        <sz val="11"/>
      </font>
      <fill>
        <patternFill>
          <bgColor rgb="FFD6F0E2"/>
        </patternFill>
      </fill>
    </dxf>
    <dxf>
      <fill>
        <patternFill>
          <bgColor rgb="FFD6F0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A4D"/>
      <rgbColor rgb="FF000080"/>
      <rgbColor rgb="FF8A6D1A"/>
      <rgbColor rgb="FF800080"/>
      <rgbColor rgb="FF0E7490"/>
      <rgbColor rgb="FFD8D0BF"/>
      <rgbColor rgb="FF6B6256"/>
      <rgbColor rgb="FF9999FF"/>
      <rgbColor rgb="FFB21E63"/>
      <rgbColor rgb="FFFBF0D8"/>
      <rgbColor rgb="FFDDEBEF"/>
      <rgbColor rgb="FF660066"/>
      <rgbColor rgb="FFFF8080"/>
      <rgbColor rgb="FF2A5E9C"/>
      <rgbColor rgb="FFE0E4EA"/>
      <rgbColor rgb="FF000080"/>
      <rgbColor rgb="FFFF00FF"/>
      <rgbColor rgb="FFFFFF00"/>
      <rgbColor rgb="FF00FFFF"/>
      <rgbColor rgb="FF800080"/>
      <rgbColor rgb="FF800000"/>
      <rgbColor rgb="FF0F6E63"/>
      <rgbColor rgb="FF0000FF"/>
      <rgbColor rgb="FF00CCFF"/>
      <rgbColor rgb="FFDDEAE9"/>
      <rgbColor rgb="FFD6F0E2"/>
      <rgbColor rgb="FFF4F2EC"/>
      <rgbColor rgb="FFE5E4F1"/>
      <rgbColor rgb="FFEFEDE6"/>
      <rgbColor rgb="FFCC99FF"/>
      <rgbColor rgb="FFF4DFE9"/>
      <rgbColor rgb="FF3366FF"/>
      <rgbColor rgb="FF33CCCC"/>
      <rgbColor rgb="FF99CC00"/>
      <rgbColor rgb="FFFFCC00"/>
      <rgbColor rgb="FFFF9900"/>
      <rgbColor rgb="FFB07D12"/>
      <rgbColor rgb="FF5B6472"/>
      <rgbColor rgb="FF969696"/>
      <rgbColor rgb="FF27406B"/>
      <rgbColor rgb="FF2E7D52"/>
      <rgbColor rgb="FF003300"/>
      <rgbColor rgb="FF333300"/>
      <rgbColor rgb="FF993300"/>
      <rgbColor rgb="FF993366"/>
      <rgbColor rgb="FF4B3F9E"/>
      <rgbColor rgb="FF1C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2433"/>
    <pageSetUpPr fitToPage="true"/>
  </sheetPr>
  <dimension ref="B1:O29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15"/>
    <col collapsed="false" customWidth="true" hidden="false" outlineLevel="0" max="4" min="4" style="1" width="13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8" min="8" style="1" width="18"/>
    <col collapsed="false" customWidth="true" hidden="true" outlineLevel="0" max="15" min="15" style="1" width="13"/>
  </cols>
  <sheetData>
    <row r="1" customFormat="false" ht="15" hidden="false" customHeight="true" outlineLevel="0" collapsed="false">
      <c r="O1" s="1" t="n">
        <f aca="false">O4/O5</f>
        <v>0.55</v>
      </c>
    </row>
    <row r="2" customFormat="false" ht="45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O3" s="1" t="n">
        <v>14</v>
      </c>
    </row>
    <row r="4" customFormat="false" ht="15" hidden="false" customHeight="true" outlineLevel="0" collapsed="false">
      <c r="O4" s="1" t="n">
        <f aca="false">Opportunity!M1+Stakeholders!M1+'Business Scenario'!M1+'Service Blueprint'!M1+Requirements!M1+System!M1+'Architectural Drivers'!M1+Architecture!M1+'Architecture Decisions'!M1+'Paved Road'!M1+Work!M1+Team!M1+'Way of Working'!M1+Governance!M1</f>
        <v>121</v>
      </c>
    </row>
    <row r="5" customFormat="false" ht="18" hidden="false" customHeight="true" outlineLevel="0" collapsed="false">
      <c r="B5" s="4" t="s">
        <v>2</v>
      </c>
      <c r="C5" s="4"/>
      <c r="D5" s="5" t="s">
        <v>3</v>
      </c>
      <c r="E5" s="5"/>
      <c r="F5" s="6" t="s">
        <v>4</v>
      </c>
      <c r="G5" s="6"/>
      <c r="H5" s="6"/>
      <c r="O5" s="1" t="n">
        <f aca="false">Opportunity!M2+Stakeholders!M2+'Business Scenario'!M2+'Service Blueprint'!M2+Requirements!M2+System!M2+'Architectural Drivers'!M2+Architecture!M2+'Architecture Decisions'!M2+'Paved Road'!M2+Work!M2+Team!M2+'Way of Working'!M2+Governance!M2</f>
        <v>220</v>
      </c>
    </row>
    <row r="6" customFormat="false" ht="39.75" hidden="false" customHeight="true" outlineLevel="0" collapsed="false">
      <c r="B6" s="7" t="n">
        <f aca="false">O1</f>
        <v>0.55</v>
      </c>
      <c r="C6" s="7"/>
      <c r="D6" s="8" t="str">
        <f aca="false">COUNTIF(H9:H25,"✔ Complete")&amp;" / "&amp;O3</f>
        <v>1 / 14</v>
      </c>
      <c r="E6" s="8"/>
      <c r="F6" s="9" t="str">
        <f aca="false">O4&amp;" / "&amp;O5</f>
        <v>121 / 220</v>
      </c>
      <c r="G6" s="9"/>
      <c r="H6" s="9"/>
    </row>
    <row r="8" customFormat="false" ht="19.5" hidden="false" customHeight="true" outlineLevel="0" collapsed="false">
      <c r="B8" s="10" t="s">
        <v>5</v>
      </c>
      <c r="C8" s="11" t="s">
        <v>6</v>
      </c>
      <c r="D8" s="11" t="s">
        <v>7</v>
      </c>
      <c r="E8" s="10" t="s">
        <v>8</v>
      </c>
      <c r="F8" s="11" t="s">
        <v>9</v>
      </c>
      <c r="G8" s="10" t="s">
        <v>10</v>
      </c>
      <c r="H8" s="11" t="s">
        <v>11</v>
      </c>
    </row>
    <row r="9" customFormat="false" ht="19.5" hidden="false" customHeight="true" outlineLevel="0" collapsed="false">
      <c r="B9" s="12" t="s">
        <v>12</v>
      </c>
      <c r="C9" s="12"/>
      <c r="D9" s="12"/>
      <c r="E9" s="12"/>
      <c r="F9" s="12"/>
      <c r="G9" s="12"/>
      <c r="H9" s="12"/>
    </row>
    <row r="10" customFormat="false" ht="18" hidden="false" customHeight="true" outlineLevel="0" collapsed="false">
      <c r="B10" s="13" t="s">
        <v>13</v>
      </c>
      <c r="C10" s="14" t="s">
        <v>14</v>
      </c>
      <c r="D10" s="15" t="s">
        <v>15</v>
      </c>
      <c r="E10" s="16" t="str">
        <f aca="false">Opportunity!B5</f>
        <v>Value Established</v>
      </c>
      <c r="F10" s="17" t="n">
        <f aca="false">Opportunity!C5</f>
        <v>0.652173913043478</v>
      </c>
      <c r="G10" s="18" t="s">
        <v>16</v>
      </c>
      <c r="H10" s="19" t="str">
        <f aca="false">IF(F10&gt;=1,"✔ Complete",IF(F10&gt;0,"● In progress","○ Not started"))</f>
        <v>● In progress</v>
      </c>
    </row>
    <row r="11" customFormat="false" ht="18" hidden="false" customHeight="true" outlineLevel="0" collapsed="false">
      <c r="B11" s="13" t="s">
        <v>17</v>
      </c>
      <c r="C11" s="14" t="s">
        <v>14</v>
      </c>
      <c r="D11" s="15" t="s">
        <v>15</v>
      </c>
      <c r="E11" s="16" t="str">
        <f aca="false">Stakeholders!B5</f>
        <v>In Agreement</v>
      </c>
      <c r="F11" s="17" t="n">
        <f aca="false">Stakeholders!C5</f>
        <v>0.789473684210526</v>
      </c>
      <c r="G11" s="18" t="s">
        <v>18</v>
      </c>
      <c r="H11" s="19" t="str">
        <f aca="false">IF(F11&gt;=1,"✔ Complete",IF(F11&gt;0,"● In progress","○ Not started"))</f>
        <v>● In progress</v>
      </c>
    </row>
    <row r="12" customFormat="false" ht="18" hidden="false" customHeight="true" outlineLevel="0" collapsed="false">
      <c r="B12" s="20" t="s">
        <v>19</v>
      </c>
      <c r="C12" s="21" t="s">
        <v>20</v>
      </c>
      <c r="D12" s="14" t="s">
        <v>21</v>
      </c>
      <c r="E12" s="16" t="str">
        <f aca="false">'Business Scenario'!B5</f>
        <v>Released</v>
      </c>
      <c r="F12" s="17" t="n">
        <f aca="false">'Business Scenario'!C5</f>
        <v>1</v>
      </c>
      <c r="G12" s="18" t="s">
        <v>22</v>
      </c>
      <c r="H12" s="19" t="str">
        <f aca="false">IF(F12&gt;=1,"✔ Complete",IF(F12&gt;0,"● In progress","○ Not started"))</f>
        <v>✔ Complete</v>
      </c>
    </row>
    <row r="13" customFormat="false" ht="18" hidden="false" customHeight="true" outlineLevel="0" collapsed="false">
      <c r="B13" s="22" t="s">
        <v>23</v>
      </c>
      <c r="C13" s="23" t="s">
        <v>23</v>
      </c>
      <c r="D13" s="15" t="s">
        <v>15</v>
      </c>
      <c r="E13" s="16" t="str">
        <f aca="false">'Service Blueprint'!B5</f>
        <v>Blueprinted</v>
      </c>
      <c r="F13" s="17" t="n">
        <f aca="false">'Service Blueprint'!C5</f>
        <v>0.7</v>
      </c>
      <c r="G13" s="18" t="s">
        <v>24</v>
      </c>
      <c r="H13" s="19" t="str">
        <f aca="false">IF(F13&gt;=1,"✔ Complete",IF(F13&gt;0,"● In progress","○ Not started"))</f>
        <v>● In progress</v>
      </c>
    </row>
    <row r="14" customFormat="false" ht="19.5" hidden="false" customHeight="true" outlineLevel="0" collapsed="false">
      <c r="B14" s="24" t="s">
        <v>25</v>
      </c>
      <c r="C14" s="24"/>
      <c r="D14" s="24"/>
      <c r="E14" s="24"/>
      <c r="F14" s="24"/>
      <c r="G14" s="24"/>
      <c r="H14" s="24"/>
    </row>
    <row r="15" customFormat="false" ht="18" hidden="false" customHeight="true" outlineLevel="0" collapsed="false">
      <c r="B15" s="13" t="s">
        <v>26</v>
      </c>
      <c r="C15" s="14" t="s">
        <v>14</v>
      </c>
      <c r="D15" s="15" t="s">
        <v>15</v>
      </c>
      <c r="E15" s="16" t="str">
        <f aca="false">Requirements!B5</f>
        <v>Bounded</v>
      </c>
      <c r="F15" s="17" t="n">
        <f aca="false">Requirements!C5</f>
        <v>0.566666666666667</v>
      </c>
      <c r="G15" s="18" t="s">
        <v>27</v>
      </c>
      <c r="H15" s="19" t="str">
        <f aca="false">IF(F15&gt;=1,"✔ Complete",IF(F15&gt;0,"● In progress","○ Not started"))</f>
        <v>● In progress</v>
      </c>
    </row>
    <row r="16" customFormat="false" ht="18" hidden="false" customHeight="true" outlineLevel="0" collapsed="false">
      <c r="B16" s="13" t="s">
        <v>28</v>
      </c>
      <c r="C16" s="14" t="s">
        <v>14</v>
      </c>
      <c r="D16" s="15" t="s">
        <v>15</v>
      </c>
      <c r="E16" s="16" t="str">
        <f aca="false">System!B5</f>
        <v>Not started</v>
      </c>
      <c r="F16" s="17" t="n">
        <f aca="false">System!C5</f>
        <v>0</v>
      </c>
      <c r="G16" s="18" t="s">
        <v>29</v>
      </c>
      <c r="H16" s="19" t="str">
        <f aca="false">IF(F16&gt;=1,"✔ Complete",IF(F16&gt;0,"● In progress","○ Not started"))</f>
        <v>○ Not started</v>
      </c>
    </row>
    <row r="17" customFormat="false" ht="18" hidden="false" customHeight="true" outlineLevel="0" collapsed="false">
      <c r="B17" s="25" t="s">
        <v>30</v>
      </c>
      <c r="C17" s="15" t="s">
        <v>31</v>
      </c>
      <c r="D17" s="15" t="s">
        <v>15</v>
      </c>
      <c r="E17" s="16" t="str">
        <f aca="false">'Architectural Drivers'!B5</f>
        <v>Quantified</v>
      </c>
      <c r="F17" s="17" t="n">
        <f aca="false">'Architectural Drivers'!C5</f>
        <v>0.7</v>
      </c>
      <c r="G17" s="18" t="s">
        <v>32</v>
      </c>
      <c r="H17" s="19" t="str">
        <f aca="false">IF(F17&gt;=1,"✔ Complete",IF(F17&gt;0,"● In progress","○ Not started"))</f>
        <v>● In progress</v>
      </c>
    </row>
    <row r="18" customFormat="false" ht="18" hidden="false" customHeight="true" outlineLevel="0" collapsed="false">
      <c r="B18" s="25" t="s">
        <v>33</v>
      </c>
      <c r="C18" s="15" t="s">
        <v>31</v>
      </c>
      <c r="D18" s="15" t="s">
        <v>15</v>
      </c>
      <c r="E18" s="16" t="str">
        <f aca="false">Architecture!B5</f>
        <v>Demonstrated</v>
      </c>
      <c r="F18" s="17" t="n">
        <f aca="false">Architecture!C5</f>
        <v>0.636363636363636</v>
      </c>
      <c r="G18" s="18" t="s">
        <v>34</v>
      </c>
      <c r="H18" s="19" t="str">
        <f aca="false">IF(F18&gt;=1,"✔ Complete",IF(F18&gt;0,"● In progress","○ Not started"))</f>
        <v>● In progress</v>
      </c>
    </row>
    <row r="19" customFormat="false" ht="18" hidden="false" customHeight="true" outlineLevel="0" collapsed="false">
      <c r="B19" s="25" t="s">
        <v>35</v>
      </c>
      <c r="C19" s="15" t="s">
        <v>31</v>
      </c>
      <c r="D19" s="15" t="s">
        <v>15</v>
      </c>
      <c r="E19" s="16" t="str">
        <f aca="false">'Architecture Decisions'!B5</f>
        <v>Communicated</v>
      </c>
      <c r="F19" s="17" t="n">
        <f aca="false">'Architecture Decisions'!C5</f>
        <v>0.8</v>
      </c>
      <c r="G19" s="18" t="s">
        <v>36</v>
      </c>
      <c r="H19" s="19" t="str">
        <f aca="false">IF(F19&gt;=1,"✔ Complete",IF(F19&gt;0,"● In progress","○ Not started"))</f>
        <v>● In progress</v>
      </c>
    </row>
    <row r="20" customFormat="false" ht="18" hidden="false" customHeight="true" outlineLevel="0" collapsed="false">
      <c r="B20" s="25" t="s">
        <v>37</v>
      </c>
      <c r="C20" s="15" t="s">
        <v>31</v>
      </c>
      <c r="D20" s="14" t="s">
        <v>21</v>
      </c>
      <c r="E20" s="16" t="str">
        <f aca="false">'Paved Road'!B5</f>
        <v>Established</v>
      </c>
      <c r="F20" s="17" t="n">
        <f aca="false">'Paved Road'!C5</f>
        <v>0.5</v>
      </c>
      <c r="G20" s="18" t="s">
        <v>38</v>
      </c>
      <c r="H20" s="19" t="str">
        <f aca="false">IF(F20&gt;=1,"✔ Complete",IF(F20&gt;0,"● In progress","○ Not started"))</f>
        <v>● In progress</v>
      </c>
    </row>
    <row r="21" customFormat="false" ht="19.5" hidden="false" customHeight="true" outlineLevel="0" collapsed="false">
      <c r="B21" s="26" t="s">
        <v>39</v>
      </c>
      <c r="C21" s="26"/>
      <c r="D21" s="26"/>
      <c r="E21" s="26"/>
      <c r="F21" s="26"/>
      <c r="G21" s="26"/>
      <c r="H21" s="26"/>
    </row>
    <row r="22" customFormat="false" ht="18" hidden="false" customHeight="true" outlineLevel="0" collapsed="false">
      <c r="B22" s="13" t="s">
        <v>40</v>
      </c>
      <c r="C22" s="14" t="s">
        <v>14</v>
      </c>
      <c r="D22" s="15" t="s">
        <v>15</v>
      </c>
      <c r="E22" s="16" t="str">
        <f aca="false">Work!B5</f>
        <v>Prepared</v>
      </c>
      <c r="F22" s="17" t="n">
        <f aca="false">Work!C5</f>
        <v>0.578947368421053</v>
      </c>
      <c r="G22" s="18" t="s">
        <v>41</v>
      </c>
      <c r="H22" s="19" t="str">
        <f aca="false">IF(F22&gt;=1,"✔ Complete",IF(F22&gt;0,"● In progress","○ Not started"))</f>
        <v>● In progress</v>
      </c>
    </row>
    <row r="23" customFormat="false" ht="18" hidden="false" customHeight="true" outlineLevel="0" collapsed="false">
      <c r="B23" s="13" t="s">
        <v>42</v>
      </c>
      <c r="C23" s="14" t="s">
        <v>14</v>
      </c>
      <c r="D23" s="15" t="s">
        <v>15</v>
      </c>
      <c r="E23" s="16" t="str">
        <f aca="false">Team!B5</f>
        <v>Formed</v>
      </c>
      <c r="F23" s="17" t="n">
        <f aca="false">Team!C5</f>
        <v>0.647058823529412</v>
      </c>
      <c r="G23" s="18" t="s">
        <v>43</v>
      </c>
      <c r="H23" s="19" t="str">
        <f aca="false">IF(F23&gt;=1,"✔ Complete",IF(F23&gt;0,"● In progress","○ Not started"))</f>
        <v>● In progress</v>
      </c>
    </row>
    <row r="24" customFormat="false" ht="18" hidden="false" customHeight="true" outlineLevel="0" collapsed="false">
      <c r="B24" s="13" t="s">
        <v>44</v>
      </c>
      <c r="C24" s="14" t="s">
        <v>14</v>
      </c>
      <c r="D24" s="15" t="s">
        <v>15</v>
      </c>
      <c r="E24" s="16" t="str">
        <f aca="false">'Way of Working'!B5</f>
        <v>Foundation Established</v>
      </c>
      <c r="F24" s="17" t="n">
        <f aca="false">'Way of Working'!C5</f>
        <v>0.411764705882353</v>
      </c>
      <c r="G24" s="18" t="s">
        <v>45</v>
      </c>
      <c r="H24" s="19" t="str">
        <f aca="false">IF(F24&gt;=1,"✔ Complete",IF(F24&gt;0,"● In progress","○ Not started"))</f>
        <v>● In progress</v>
      </c>
    </row>
    <row r="25" customFormat="false" ht="18" hidden="false" customHeight="true" outlineLevel="0" collapsed="false">
      <c r="B25" s="27" t="s">
        <v>46</v>
      </c>
      <c r="C25" s="28" t="s">
        <v>47</v>
      </c>
      <c r="D25" s="28" t="s">
        <v>48</v>
      </c>
      <c r="E25" s="16" t="str">
        <f aca="false">Governance!B5</f>
        <v>Guiding</v>
      </c>
      <c r="F25" s="17" t="n">
        <f aca="false">Governance!C5</f>
        <v>0.7</v>
      </c>
      <c r="G25" s="18" t="s">
        <v>49</v>
      </c>
      <c r="H25" s="19" t="str">
        <f aca="false">IF(F25&gt;=1,"✔ Complete",IF(F25&gt;0,"● In progress","○ Not started"))</f>
        <v>● In progress</v>
      </c>
    </row>
    <row r="27" customFormat="false" ht="30" hidden="false" customHeight="true" outlineLevel="0" collapsed="false">
      <c r="B27" s="29" t="s">
        <v>50</v>
      </c>
      <c r="C27" s="29"/>
      <c r="D27" s="29"/>
      <c r="E27" s="29"/>
      <c r="F27" s="29"/>
      <c r="G27" s="29"/>
      <c r="H27" s="29"/>
    </row>
    <row r="28" customFormat="false" ht="15" hidden="false" customHeight="true" outlineLevel="0" collapsed="false">
      <c r="B28" s="30" t="s">
        <v>51</v>
      </c>
      <c r="C28" s="30"/>
      <c r="D28" s="30"/>
      <c r="E28" s="30"/>
      <c r="F28" s="30"/>
      <c r="G28" s="30"/>
      <c r="H28" s="30"/>
    </row>
    <row r="29" customFormat="false" ht="15" hidden="false" customHeight="true" outlineLevel="0" collapsed="false">
      <c r="B29" s="31" t="s">
        <v>52</v>
      </c>
    </row>
  </sheetData>
  <mergeCells count="13">
    <mergeCell ref="B2:H2"/>
    <mergeCell ref="B3:H3"/>
    <mergeCell ref="B5:C5"/>
    <mergeCell ref="D5:E5"/>
    <mergeCell ref="F5:H5"/>
    <mergeCell ref="B6:C6"/>
    <mergeCell ref="D6:E6"/>
    <mergeCell ref="F6:H6"/>
    <mergeCell ref="B9:H9"/>
    <mergeCell ref="B14:H14"/>
    <mergeCell ref="B21:H21"/>
    <mergeCell ref="B27:H27"/>
    <mergeCell ref="B28:H28"/>
  </mergeCells>
  <conditionalFormatting sqref="F9:F25">
    <cfRule type="dataBar" priority="2">
      <dataBar showValue="1" minLength="10" maxLength="90">
        <cfvo type="num" val="0"/>
        <cfvo type="num" val="1"/>
        <color rgb="FF0F6E63"/>
      </dataBar>
      <extLst>
        <ext xmlns:x14="http://schemas.microsoft.com/office/spreadsheetml/2009/9/main" uri="{B025F937-C7B1-47D3-B67F-A62EFF666E3E}">
          <x14:id>{73698B5B-2020-4350-80CB-CA90B8224CA3}</x14:id>
        </ext>
      </extLst>
    </cfRule>
  </conditionalFormatting>
  <conditionalFormatting sqref="H9:H25">
    <cfRule type="expression" priority="3" aboveAverage="0" equalAverage="0" bottom="0" percent="0" rank="0" text="" dxfId="0">
      <formula>LEFT(H9,1)="✔"</formula>
    </cfRule>
    <cfRule type="expression" priority="4" aboveAverage="0" equalAverage="0" bottom="0" percent="0" rank="0" text="" dxfId="1">
      <formula>LEFT(H9,1)="●"</formula>
    </cfRule>
    <cfRule type="expression" priority="5" aboveAverage="0" equalAverage="0" bottom="0" percent="0" rank="0" text="" dxfId="2">
      <formula>LEFT(H9,1)="○"</formula>
    </cfRule>
  </conditionalFormatting>
  <hyperlinks>
    <hyperlink ref="B10" location="'Opportunity'!A1" display="Opportunity"/>
    <hyperlink ref="B11" location="'Stakeholders'!A1" display="Stakeholders"/>
    <hyperlink ref="B12" location="'Business Scenario'!A1" display="Business Scenario"/>
    <hyperlink ref="B13" location="'Service Blueprint'!A1" display="Service Blueprint"/>
    <hyperlink ref="B15" location="'Requirements'!A1" display="Requirements"/>
    <hyperlink ref="B16" location="'System'!A1" display="System"/>
    <hyperlink ref="B17" location="'Architectural Drivers'!A1" display="Architectural Drivers"/>
    <hyperlink ref="B18" location="'Architecture'!A1" display="Architecture"/>
    <hyperlink ref="B19" location="'Architecture Decisions'!A1" display="Architecture Decisions"/>
    <hyperlink ref="B20" location="'Paved Road'!A1" display="Paved Road"/>
    <hyperlink ref="B22" location="'Work'!A1" display="Work"/>
    <hyperlink ref="B23" location="'Team'!A1" display="Team"/>
    <hyperlink ref="B24" location="'Way of Working'!A1" display="Way of Working"/>
    <hyperlink ref="B25" location="'Governance'!A1" display="Governance"/>
    <hyperlink ref="B29" location="'Levels of Scale'!A1" display="→ See the 'Levels of Scale' tab for how the levels work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698B5B-2020-4350-80CB-CA90B8224CA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F6E63"/>
              <x14:axisColor rgb="FF000000"/>
            </x14:dataBar>
          </x14:cfRule>
          <xm:sqref>F9:F25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406B"/>
    <pageSetUpPr fitToPage="true"/>
  </sheetPr>
  <dimension ref="B2:H2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8" min="2" style="1" width="16"/>
  </cols>
  <sheetData>
    <row r="2" customFormat="false" ht="39.75" hidden="false" customHeight="true" outlineLevel="0" collapsed="false">
      <c r="B2" s="32" t="s">
        <v>53</v>
      </c>
      <c r="C2" s="32"/>
      <c r="D2" s="32"/>
      <c r="E2" s="32"/>
      <c r="F2" s="32"/>
      <c r="G2" s="32"/>
      <c r="H2" s="32"/>
    </row>
    <row r="3" customFormat="false" ht="21.75" hidden="false" customHeight="true" outlineLevel="0" collapsed="false">
      <c r="B3" s="3" t="s">
        <v>54</v>
      </c>
      <c r="C3" s="3"/>
      <c r="D3" s="3"/>
      <c r="E3" s="3"/>
      <c r="F3" s="3"/>
      <c r="G3" s="3"/>
      <c r="H3" s="3"/>
    </row>
    <row r="5" customFormat="false" ht="18" hidden="false" customHeight="true" outlineLevel="0" collapsed="false">
      <c r="B5" s="33" t="s">
        <v>55</v>
      </c>
      <c r="C5" s="33"/>
      <c r="D5" s="33"/>
      <c r="E5" s="33"/>
      <c r="F5" s="33"/>
      <c r="G5" s="33"/>
      <c r="H5" s="33"/>
    </row>
    <row r="6" customFormat="false" ht="33.75" hidden="false" customHeight="true" outlineLevel="0" collapsed="false">
      <c r="B6" s="33"/>
      <c r="C6" s="33"/>
      <c r="D6" s="33"/>
      <c r="E6" s="33"/>
      <c r="F6" s="33"/>
      <c r="G6" s="33"/>
      <c r="H6" s="33"/>
    </row>
    <row r="8" customFormat="false" ht="19.5" hidden="false" customHeight="true" outlineLevel="0" collapsed="false">
      <c r="B8" s="34" t="s">
        <v>56</v>
      </c>
      <c r="C8" s="34"/>
      <c r="D8" s="34"/>
      <c r="E8" s="34"/>
      <c r="F8" s="34"/>
      <c r="G8" s="34"/>
      <c r="H8" s="34"/>
    </row>
    <row r="9" customFormat="false" ht="24" hidden="false" customHeight="true" outlineLevel="0" collapsed="false">
      <c r="B9" s="34"/>
      <c r="C9" s="34"/>
      <c r="D9" s="34"/>
      <c r="E9" s="34"/>
      <c r="F9" s="34"/>
      <c r="G9" s="34"/>
      <c r="H9" s="34"/>
    </row>
    <row r="10" customFormat="false" ht="19.5" hidden="false" customHeight="true" outlineLevel="0" collapsed="false">
      <c r="C10" s="35" t="s">
        <v>57</v>
      </c>
      <c r="D10" s="35"/>
      <c r="E10" s="35"/>
      <c r="F10" s="35"/>
      <c r="G10" s="35"/>
      <c r="H10" s="35"/>
    </row>
    <row r="11" customFormat="false" ht="24" hidden="false" customHeight="true" outlineLevel="0" collapsed="false">
      <c r="C11" s="35"/>
      <c r="D11" s="35"/>
      <c r="E11" s="35"/>
      <c r="F11" s="35"/>
      <c r="G11" s="35"/>
      <c r="H11" s="35"/>
    </row>
    <row r="12" customFormat="false" ht="19.5" hidden="false" customHeight="true" outlineLevel="0" collapsed="false">
      <c r="D12" s="36" t="s">
        <v>58</v>
      </c>
      <c r="E12" s="36"/>
      <c r="F12" s="36"/>
      <c r="G12" s="36"/>
      <c r="H12" s="36"/>
    </row>
    <row r="13" customFormat="false" ht="24" hidden="false" customHeight="true" outlineLevel="0" collapsed="false">
      <c r="D13" s="36"/>
      <c r="E13" s="36"/>
      <c r="F13" s="36"/>
      <c r="G13" s="36"/>
      <c r="H13" s="36"/>
    </row>
    <row r="15" customFormat="false" ht="15" hidden="false" customHeight="true" outlineLevel="0" collapsed="false">
      <c r="B15" s="37" t="s">
        <v>59</v>
      </c>
      <c r="C15" s="37"/>
      <c r="D15" s="37"/>
      <c r="E15" s="37"/>
      <c r="F15" s="37"/>
      <c r="G15" s="37"/>
      <c r="H15" s="37"/>
    </row>
    <row r="17" customFormat="false" ht="19.5" hidden="false" customHeight="true" outlineLevel="0" collapsed="false">
      <c r="B17" s="38" t="s">
        <v>60</v>
      </c>
      <c r="C17" s="38"/>
      <c r="D17" s="38"/>
      <c r="E17" s="38"/>
      <c r="F17" s="38"/>
      <c r="G17" s="38"/>
      <c r="H17" s="38"/>
    </row>
    <row r="18" customFormat="false" ht="30" hidden="false" customHeight="true" outlineLevel="0" collapsed="false">
      <c r="B18" s="39" t="s">
        <v>61</v>
      </c>
      <c r="C18" s="40" t="s">
        <v>62</v>
      </c>
      <c r="D18" s="40"/>
      <c r="E18" s="40"/>
      <c r="F18" s="40"/>
      <c r="G18" s="40"/>
      <c r="H18" s="40"/>
    </row>
    <row r="19" customFormat="false" ht="30" hidden="false" customHeight="true" outlineLevel="0" collapsed="false">
      <c r="B19" s="41" t="s">
        <v>63</v>
      </c>
      <c r="C19" s="40" t="s">
        <v>64</v>
      </c>
      <c r="D19" s="40"/>
      <c r="E19" s="40"/>
      <c r="F19" s="40"/>
      <c r="G19" s="40"/>
      <c r="H19" s="40"/>
    </row>
    <row r="21" customFormat="false" ht="15" hidden="false" customHeight="true" outlineLevel="0" collapsed="false">
      <c r="B21" s="42" t="s">
        <v>65</v>
      </c>
      <c r="C21" s="42"/>
      <c r="D21" s="42"/>
      <c r="E21" s="42"/>
      <c r="F21" s="42"/>
      <c r="G21" s="42"/>
      <c r="H21" s="42"/>
    </row>
    <row r="22" customFormat="false" ht="15" hidden="false" customHeight="true" outlineLevel="0" collapsed="false">
      <c r="B22" s="42"/>
      <c r="C22" s="42"/>
      <c r="D22" s="42"/>
      <c r="E22" s="42"/>
      <c r="F22" s="42"/>
      <c r="G22" s="42"/>
      <c r="H22" s="42"/>
    </row>
  </sheetData>
  <mergeCells count="11">
    <mergeCell ref="B2:H2"/>
    <mergeCell ref="B3:H3"/>
    <mergeCell ref="B5:H6"/>
    <mergeCell ref="B8:H9"/>
    <mergeCell ref="C10:H11"/>
    <mergeCell ref="D12:H13"/>
    <mergeCell ref="B15:H15"/>
    <mergeCell ref="B17:H17"/>
    <mergeCell ref="C18:H18"/>
    <mergeCell ref="C19:H19"/>
    <mergeCell ref="B21:H22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52"/>
    <pageSetUpPr fitToPage="true"/>
  </sheetPr>
  <dimension ref="B1:M29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6"/>
    <col collapsed="false" customWidth="true" hidden="false" outlineLevel="0" max="4" min="4" style="1" width="95"/>
    <col collapsed="false" customWidth="true" hidden="false" outlineLevel="0" max="5" min="5" style="1" width="16"/>
    <col collapsed="false" customWidth="true" hidden="true" outlineLevel="0" max="13" min="7" style="1" width="13"/>
  </cols>
  <sheetData>
    <row r="1" customFormat="false" ht="15" hidden="false" customHeight="true" outlineLevel="0" collapsed="false">
      <c r="B1" s="31" t="s">
        <v>66</v>
      </c>
      <c r="M1" s="1" t="n">
        <f aca="false">SUM(H7:H12)</f>
        <v>15</v>
      </c>
    </row>
    <row r="2" customFormat="false" ht="39.75" hidden="false" customHeight="true" outlineLevel="0" collapsed="false">
      <c r="B2" s="32" t="s">
        <v>13</v>
      </c>
      <c r="C2" s="32"/>
      <c r="D2" s="32"/>
      <c r="E2" s="43" t="s">
        <v>25</v>
      </c>
      <c r="M2" s="1" t="n">
        <f aca="false">SUM(I7:I12)</f>
        <v>23</v>
      </c>
    </row>
    <row r="3" customFormat="false" ht="31.5" hidden="false" customHeight="true" outlineLevel="0" collapsed="false">
      <c r="B3" s="44" t="s">
        <v>67</v>
      </c>
      <c r="C3" s="44"/>
      <c r="D3" s="44"/>
      <c r="E3" s="44"/>
      <c r="M3" s="1" t="n">
        <f aca="false">SUM(K7:K12)</f>
        <v>3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1" t="n">
        <f aca="false">SUM(J7:J12)</f>
        <v>3</v>
      </c>
    </row>
    <row r="5" customFormat="false" ht="25.5" hidden="false" customHeight="true" outlineLevel="0" collapsed="false">
      <c r="B5" s="46" t="str">
        <f aca="false">IF(M3=0,"Not started",INDEX(G7:G12,M3))</f>
        <v>Value Established</v>
      </c>
      <c r="C5" s="47" t="n">
        <f aca="false">IF(M2=0,0,M1/M2)</f>
        <v>0.652173913043478</v>
      </c>
      <c r="D5" s="46" t="str">
        <f aca="false">M4&amp;" / "&amp;6</f>
        <v>3 / 6</v>
      </c>
      <c r="E5" s="48" t="s">
        <v>70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36" hidden="false" customHeight="true" outlineLevel="0" collapsed="false">
      <c r="B7" s="50" t="s">
        <v>75</v>
      </c>
      <c r="C7" s="51" t="s">
        <v>72</v>
      </c>
      <c r="D7" s="52" t="s">
        <v>76</v>
      </c>
      <c r="E7" s="53" t="str">
        <f aca="false">COUNTIF(C7:C9,"✔")&amp;" / 3"</f>
        <v>3 / 3</v>
      </c>
      <c r="G7" s="1" t="s">
        <v>77</v>
      </c>
      <c r="H7" s="1" t="n">
        <f aca="false">COUNTIF(C7:C9,"✔")</f>
        <v>3</v>
      </c>
      <c r="I7" s="1" t="n">
        <v>3</v>
      </c>
      <c r="J7" s="1" t="n">
        <f aca="false">IF(H7=I7,1,0)</f>
        <v>1</v>
      </c>
      <c r="K7" s="1" t="n">
        <f aca="false">J7</f>
        <v>1</v>
      </c>
    </row>
    <row r="8" customFormat="false" ht="21" hidden="false" customHeight="true" outlineLevel="0" collapsed="false">
      <c r="B8" s="50"/>
      <c r="C8" s="54" t="s">
        <v>72</v>
      </c>
      <c r="D8" s="55" t="s">
        <v>78</v>
      </c>
      <c r="E8" s="53"/>
      <c r="G8" s="1" t="s">
        <v>79</v>
      </c>
      <c r="H8" s="1" t="n">
        <f aca="false">COUNTIF(C10:C14,"✔")</f>
        <v>5</v>
      </c>
      <c r="I8" s="1" t="n">
        <v>5</v>
      </c>
      <c r="J8" s="1" t="n">
        <f aca="false">IF(H8=I8,1,0)</f>
        <v>1</v>
      </c>
      <c r="K8" s="1" t="n">
        <f aca="false">J8*K7</f>
        <v>1</v>
      </c>
    </row>
    <row r="9" customFormat="false" ht="21" hidden="false" customHeight="true" outlineLevel="0" collapsed="false">
      <c r="B9" s="50"/>
      <c r="C9" s="51" t="s">
        <v>72</v>
      </c>
      <c r="D9" s="52" t="s">
        <v>80</v>
      </c>
      <c r="E9" s="53"/>
      <c r="G9" s="1" t="s">
        <v>81</v>
      </c>
      <c r="H9" s="1" t="n">
        <f aca="false">COUNTIF(C15:C19,"✔")</f>
        <v>5</v>
      </c>
      <c r="I9" s="1" t="n">
        <v>5</v>
      </c>
      <c r="J9" s="1" t="n">
        <f aca="false">IF(H9=I9,1,0)</f>
        <v>1</v>
      </c>
      <c r="K9" s="1" t="n">
        <f aca="false">J9*K8</f>
        <v>1</v>
      </c>
    </row>
    <row r="10" customFormat="false" ht="21" hidden="false" customHeight="true" outlineLevel="0" collapsed="false">
      <c r="B10" s="50" t="s">
        <v>82</v>
      </c>
      <c r="C10" s="54" t="s">
        <v>72</v>
      </c>
      <c r="D10" s="55" t="s">
        <v>83</v>
      </c>
      <c r="E10" s="53" t="str">
        <f aca="false">COUNTIF(C10:C14,"✔")&amp;" / 5"</f>
        <v>5 / 5</v>
      </c>
      <c r="G10" s="1" t="s">
        <v>84</v>
      </c>
      <c r="H10" s="1" t="n">
        <f aca="false">COUNTIF(C20:C24,"✔")</f>
        <v>2</v>
      </c>
      <c r="I10" s="1" t="n">
        <v>5</v>
      </c>
      <c r="J10" s="1" t="n">
        <f aca="false">IF(H10=I10,1,0)</f>
        <v>0</v>
      </c>
      <c r="K10" s="1" t="n">
        <f aca="false">J10*K9</f>
        <v>0</v>
      </c>
    </row>
    <row r="11" customFormat="false" ht="21" hidden="false" customHeight="true" outlineLevel="0" collapsed="false">
      <c r="B11" s="50"/>
      <c r="C11" s="51" t="s">
        <v>72</v>
      </c>
      <c r="D11" s="52" t="s">
        <v>85</v>
      </c>
      <c r="E11" s="53"/>
      <c r="G11" s="1" t="s">
        <v>86</v>
      </c>
      <c r="H11" s="1" t="n">
        <f aca="false">COUNTIF(C25:C27,"✔")</f>
        <v>0</v>
      </c>
      <c r="I11" s="1" t="n">
        <v>3</v>
      </c>
      <c r="J11" s="1" t="n">
        <f aca="false">IF(H11=I11,1,0)</f>
        <v>0</v>
      </c>
      <c r="K11" s="1" t="n">
        <f aca="false">J11*K10</f>
        <v>0</v>
      </c>
    </row>
    <row r="12" customFormat="false" ht="21" hidden="false" customHeight="true" outlineLevel="0" collapsed="false">
      <c r="B12" s="50"/>
      <c r="C12" s="54" t="s">
        <v>72</v>
      </c>
      <c r="D12" s="55" t="s">
        <v>87</v>
      </c>
      <c r="E12" s="53"/>
      <c r="G12" s="1" t="s">
        <v>16</v>
      </c>
      <c r="H12" s="1" t="n">
        <f aca="false">COUNTIF(C28:C29,"✔")</f>
        <v>0</v>
      </c>
      <c r="I12" s="1" t="n">
        <v>2</v>
      </c>
      <c r="J12" s="1" t="n">
        <f aca="false">IF(H12=I12,1,0)</f>
        <v>0</v>
      </c>
      <c r="K12" s="1" t="n">
        <f aca="false">J12*K11</f>
        <v>0</v>
      </c>
    </row>
    <row r="13" customFormat="false" ht="21" hidden="false" customHeight="true" outlineLevel="0" collapsed="false">
      <c r="B13" s="50"/>
      <c r="C13" s="51" t="s">
        <v>72</v>
      </c>
      <c r="D13" s="52" t="s">
        <v>88</v>
      </c>
      <c r="E13" s="53"/>
    </row>
    <row r="14" customFormat="false" ht="21" hidden="false" customHeight="true" outlineLevel="0" collapsed="false">
      <c r="B14" s="50"/>
      <c r="C14" s="54" t="s">
        <v>72</v>
      </c>
      <c r="D14" s="55" t="s">
        <v>89</v>
      </c>
      <c r="E14" s="53"/>
    </row>
    <row r="15" customFormat="false" ht="21" hidden="false" customHeight="true" outlineLevel="0" collapsed="false">
      <c r="B15" s="50" t="s">
        <v>90</v>
      </c>
      <c r="C15" s="51" t="s">
        <v>72</v>
      </c>
      <c r="D15" s="52" t="s">
        <v>91</v>
      </c>
      <c r="E15" s="53" t="str">
        <f aca="false">COUNTIF(C15:C19,"✔")&amp;" / 5"</f>
        <v>5 / 5</v>
      </c>
    </row>
    <row r="16" customFormat="false" ht="21" hidden="false" customHeight="true" outlineLevel="0" collapsed="false">
      <c r="B16" s="50"/>
      <c r="C16" s="54" t="s">
        <v>72</v>
      </c>
      <c r="D16" s="55" t="s">
        <v>92</v>
      </c>
      <c r="E16" s="53"/>
    </row>
    <row r="17" customFormat="false" ht="21" hidden="false" customHeight="true" outlineLevel="0" collapsed="false">
      <c r="B17" s="50"/>
      <c r="C17" s="51" t="s">
        <v>72</v>
      </c>
      <c r="D17" s="52" t="s">
        <v>93</v>
      </c>
      <c r="E17" s="53"/>
    </row>
    <row r="18" customFormat="false" ht="21" hidden="false" customHeight="true" outlineLevel="0" collapsed="false">
      <c r="B18" s="50"/>
      <c r="C18" s="54" t="s">
        <v>72</v>
      </c>
      <c r="D18" s="55" t="s">
        <v>94</v>
      </c>
      <c r="E18" s="53"/>
    </row>
    <row r="19" customFormat="false" ht="21" hidden="false" customHeight="true" outlineLevel="0" collapsed="false">
      <c r="B19" s="50"/>
      <c r="C19" s="51" t="s">
        <v>72</v>
      </c>
      <c r="D19" s="52" t="s">
        <v>95</v>
      </c>
      <c r="E19" s="53"/>
    </row>
    <row r="20" customFormat="false" ht="21" hidden="false" customHeight="true" outlineLevel="0" collapsed="false">
      <c r="B20" s="50" t="s">
        <v>96</v>
      </c>
      <c r="C20" s="54" t="s">
        <v>72</v>
      </c>
      <c r="D20" s="55" t="s">
        <v>97</v>
      </c>
      <c r="E20" s="53" t="str">
        <f aca="false">COUNTIF(C20:C24,"✔")&amp;" / 5"</f>
        <v>2 / 5</v>
      </c>
    </row>
    <row r="21" customFormat="false" ht="21" hidden="false" customHeight="true" outlineLevel="0" collapsed="false">
      <c r="B21" s="50"/>
      <c r="C21" s="51" t="s">
        <v>72</v>
      </c>
      <c r="D21" s="52" t="s">
        <v>98</v>
      </c>
      <c r="E21" s="53"/>
    </row>
    <row r="22" customFormat="false" ht="21" hidden="false" customHeight="true" outlineLevel="0" collapsed="false">
      <c r="B22" s="50"/>
      <c r="C22" s="54"/>
      <c r="D22" s="55" t="s">
        <v>99</v>
      </c>
      <c r="E22" s="53"/>
    </row>
    <row r="23" customFormat="false" ht="21" hidden="false" customHeight="true" outlineLevel="0" collapsed="false">
      <c r="B23" s="50"/>
      <c r="C23" s="51"/>
      <c r="D23" s="52" t="s">
        <v>100</v>
      </c>
      <c r="E23" s="53"/>
    </row>
    <row r="24" customFormat="false" ht="21" hidden="false" customHeight="true" outlineLevel="0" collapsed="false">
      <c r="B24" s="50"/>
      <c r="C24" s="54"/>
      <c r="D24" s="55" t="s">
        <v>101</v>
      </c>
      <c r="E24" s="53"/>
    </row>
    <row r="25" customFormat="false" ht="21" hidden="false" customHeight="true" outlineLevel="0" collapsed="false">
      <c r="B25" s="50" t="s">
        <v>102</v>
      </c>
      <c r="C25" s="51"/>
      <c r="D25" s="52" t="s">
        <v>103</v>
      </c>
      <c r="E25" s="53" t="str">
        <f aca="false">COUNTIF(C25:C27,"✔")&amp;" / 3"</f>
        <v>0 / 3</v>
      </c>
    </row>
    <row r="26" customFormat="false" ht="21" hidden="false" customHeight="true" outlineLevel="0" collapsed="false">
      <c r="B26" s="50"/>
      <c r="C26" s="54"/>
      <c r="D26" s="55" t="s">
        <v>104</v>
      </c>
      <c r="E26" s="53"/>
    </row>
    <row r="27" customFormat="false" ht="21" hidden="false" customHeight="true" outlineLevel="0" collapsed="false">
      <c r="B27" s="50"/>
      <c r="C27" s="51"/>
      <c r="D27" s="52" t="s">
        <v>105</v>
      </c>
      <c r="E27" s="53"/>
    </row>
    <row r="28" customFormat="false" ht="21" hidden="false" customHeight="true" outlineLevel="0" collapsed="false">
      <c r="B28" s="50" t="s">
        <v>106</v>
      </c>
      <c r="C28" s="54"/>
      <c r="D28" s="55" t="s">
        <v>107</v>
      </c>
      <c r="E28" s="53" t="str">
        <f aca="false">COUNTIF(C28:C29,"✔")&amp;" / 2"</f>
        <v>0 / 2</v>
      </c>
    </row>
    <row r="29" customFormat="false" ht="21" hidden="false" customHeight="true" outlineLevel="0" collapsed="false">
      <c r="B29" s="50"/>
      <c r="C29" s="51"/>
      <c r="D29" s="52" t="s">
        <v>108</v>
      </c>
      <c r="E29" s="53"/>
    </row>
  </sheetData>
  <mergeCells count="14">
    <mergeCell ref="B2:D2"/>
    <mergeCell ref="B3:E3"/>
    <mergeCell ref="B7:B9"/>
    <mergeCell ref="E7:E9"/>
    <mergeCell ref="B10:B14"/>
    <mergeCell ref="E10:E14"/>
    <mergeCell ref="B15:B19"/>
    <mergeCell ref="E15:E19"/>
    <mergeCell ref="B20:B24"/>
    <mergeCell ref="E20:E24"/>
    <mergeCell ref="B25:B27"/>
    <mergeCell ref="E25:E27"/>
    <mergeCell ref="B28:B29"/>
    <mergeCell ref="E28:E29"/>
  </mergeCells>
  <conditionalFormatting sqref="E7:E9">
    <cfRule type="expression" priority="2" aboveAverage="0" equalAverage="0" bottom="0" percent="0" rank="0" text="" dxfId="3">
      <formula>COUNTIF($C$7:$C$9,"✔")=3</formula>
    </cfRule>
  </conditionalFormatting>
  <conditionalFormatting sqref="E10:E14">
    <cfRule type="expression" priority="3" aboveAverage="0" equalAverage="0" bottom="0" percent="0" rank="0" text="" dxfId="3">
      <formula>COUNTIF($C$10:$C$14,"✔")=5</formula>
    </cfRule>
  </conditionalFormatting>
  <conditionalFormatting sqref="E15:E19">
    <cfRule type="expression" priority="4" aboveAverage="0" equalAverage="0" bottom="0" percent="0" rank="0" text="" dxfId="3">
      <formula>COUNTIF($C$15:$C$19,"✔")=5</formula>
    </cfRule>
  </conditionalFormatting>
  <conditionalFormatting sqref="E20:E24">
    <cfRule type="expression" priority="5" aboveAverage="0" equalAverage="0" bottom="0" percent="0" rank="0" text="" dxfId="3">
      <formula>COUNTIF($C$20:$C$24,"✔")=5</formula>
    </cfRule>
  </conditionalFormatting>
  <conditionalFormatting sqref="E25:E27">
    <cfRule type="expression" priority="6" aboveAverage="0" equalAverage="0" bottom="0" percent="0" rank="0" text="" dxfId="3">
      <formula>COUNTIF($C$25:$C$27,"✔")=3</formula>
    </cfRule>
  </conditionalFormatting>
  <conditionalFormatting sqref="E28:E29">
    <cfRule type="expression" priority="7" aboveAverage="0" equalAverage="0" bottom="0" percent="0" rank="0" text="" dxfId="3">
      <formula>COUNTIF($C$28:$C$29,"✔")=2</formula>
    </cfRule>
  </conditionalFormatting>
  <conditionalFormatting sqref="C7:C29">
    <cfRule type="expression" priority="8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29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52"/>
    <pageSetUpPr fitToPage="true"/>
  </sheetPr>
  <dimension ref="B1:M2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6"/>
    <col collapsed="false" customWidth="true" hidden="false" outlineLevel="0" max="4" min="4" style="1" width="95"/>
    <col collapsed="false" customWidth="true" hidden="false" outlineLevel="0" max="5" min="5" style="1" width="16"/>
    <col collapsed="false" customWidth="true" hidden="true" outlineLevel="0" max="13" min="7" style="1" width="13"/>
  </cols>
  <sheetData>
    <row r="1" customFormat="false" ht="15" hidden="false" customHeight="true" outlineLevel="0" collapsed="false">
      <c r="B1" s="31" t="s">
        <v>66</v>
      </c>
      <c r="M1" s="1" t="n">
        <f aca="false">SUM(H7:H12)</f>
        <v>15</v>
      </c>
    </row>
    <row r="2" customFormat="false" ht="39.75" hidden="false" customHeight="true" outlineLevel="0" collapsed="false">
      <c r="B2" s="32" t="s">
        <v>17</v>
      </c>
      <c r="C2" s="32"/>
      <c r="D2" s="32"/>
      <c r="E2" s="43" t="s">
        <v>25</v>
      </c>
      <c r="M2" s="1" t="n">
        <f aca="false">SUM(I7:I12)</f>
        <v>19</v>
      </c>
    </row>
    <row r="3" customFormat="false" ht="31.5" hidden="false" customHeight="true" outlineLevel="0" collapsed="false">
      <c r="B3" s="44" t="s">
        <v>109</v>
      </c>
      <c r="C3" s="44"/>
      <c r="D3" s="44"/>
      <c r="E3" s="44"/>
      <c r="M3" s="1" t="n">
        <f aca="false">SUM(K7:K12)</f>
        <v>4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1" t="n">
        <f aca="false">SUM(J7:J12)</f>
        <v>4</v>
      </c>
    </row>
    <row r="5" customFormat="false" ht="25.5" hidden="false" customHeight="true" outlineLevel="0" collapsed="false">
      <c r="B5" s="46" t="str">
        <f aca="false">IF(M3=0,"Not started",INDEX(G7:G12,M3))</f>
        <v>In Agreement</v>
      </c>
      <c r="C5" s="47" t="n">
        <f aca="false">IF(M2=0,0,M1/M2)</f>
        <v>0.789473684210526</v>
      </c>
      <c r="D5" s="46" t="str">
        <f aca="false">M4&amp;" / "&amp;6</f>
        <v>4 / 6</v>
      </c>
      <c r="E5" s="48" t="s">
        <v>70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50" t="s">
        <v>110</v>
      </c>
      <c r="C7" s="51" t="s">
        <v>72</v>
      </c>
      <c r="D7" s="52" t="s">
        <v>111</v>
      </c>
      <c r="E7" s="53" t="str">
        <f aca="false">COUNTIF(C7:C9,"✔")&amp;" / 3"</f>
        <v>3 / 3</v>
      </c>
      <c r="G7" s="1" t="s">
        <v>112</v>
      </c>
      <c r="H7" s="1" t="n">
        <f aca="false">COUNTIF(C7:C9,"✔")</f>
        <v>3</v>
      </c>
      <c r="I7" s="1" t="n">
        <v>3</v>
      </c>
      <c r="J7" s="1" t="n">
        <f aca="false">IF(H7=I7,1,0)</f>
        <v>1</v>
      </c>
      <c r="K7" s="1" t="n">
        <f aca="false">J7</f>
        <v>1</v>
      </c>
    </row>
    <row r="8" customFormat="false" ht="21" hidden="false" customHeight="true" outlineLevel="0" collapsed="false">
      <c r="B8" s="50"/>
      <c r="C8" s="54" t="s">
        <v>72</v>
      </c>
      <c r="D8" s="55" t="s">
        <v>113</v>
      </c>
      <c r="E8" s="53"/>
      <c r="G8" s="1" t="s">
        <v>114</v>
      </c>
      <c r="H8" s="1" t="n">
        <f aca="false">COUNTIF(C10:C13,"✔")</f>
        <v>4</v>
      </c>
      <c r="I8" s="1" t="n">
        <v>4</v>
      </c>
      <c r="J8" s="1" t="n">
        <f aca="false">IF(H8=I8,1,0)</f>
        <v>1</v>
      </c>
      <c r="K8" s="1" t="n">
        <f aca="false">J8*K7</f>
        <v>1</v>
      </c>
    </row>
    <row r="9" customFormat="false" ht="21" hidden="false" customHeight="true" outlineLevel="0" collapsed="false">
      <c r="B9" s="50"/>
      <c r="C9" s="51" t="s">
        <v>72</v>
      </c>
      <c r="D9" s="52" t="s">
        <v>115</v>
      </c>
      <c r="E9" s="53"/>
      <c r="G9" s="1" t="s">
        <v>116</v>
      </c>
      <c r="H9" s="1" t="n">
        <f aca="false">COUNTIF(C14:C16,"✔")</f>
        <v>3</v>
      </c>
      <c r="I9" s="1" t="n">
        <v>3</v>
      </c>
      <c r="J9" s="1" t="n">
        <f aca="false">IF(H9=I9,1,0)</f>
        <v>1</v>
      </c>
      <c r="K9" s="1" t="n">
        <f aca="false">J9*K8</f>
        <v>1</v>
      </c>
    </row>
    <row r="10" customFormat="false" ht="21" hidden="false" customHeight="true" outlineLevel="0" collapsed="false">
      <c r="B10" s="50" t="s">
        <v>117</v>
      </c>
      <c r="C10" s="54" t="s">
        <v>72</v>
      </c>
      <c r="D10" s="55" t="s">
        <v>118</v>
      </c>
      <c r="E10" s="53" t="str">
        <f aca="false">COUNTIF(C10:C13,"✔")&amp;" / 4"</f>
        <v>4 / 4</v>
      </c>
      <c r="G10" s="1" t="s">
        <v>119</v>
      </c>
      <c r="H10" s="1" t="n">
        <f aca="false">COUNTIF(C17:C21,"✔")</f>
        <v>5</v>
      </c>
      <c r="I10" s="1" t="n">
        <v>5</v>
      </c>
      <c r="J10" s="1" t="n">
        <f aca="false">IF(H10=I10,1,0)</f>
        <v>1</v>
      </c>
      <c r="K10" s="1" t="n">
        <f aca="false">J10*K9</f>
        <v>1</v>
      </c>
    </row>
    <row r="11" customFormat="false" ht="21" hidden="false" customHeight="true" outlineLevel="0" collapsed="false">
      <c r="B11" s="50"/>
      <c r="C11" s="51" t="s">
        <v>72</v>
      </c>
      <c r="D11" s="52" t="s">
        <v>120</v>
      </c>
      <c r="E11" s="53"/>
      <c r="G11" s="1" t="s">
        <v>121</v>
      </c>
      <c r="H11" s="1" t="n">
        <f aca="false">COUNTIF(C22:C23,"✔")</f>
        <v>0</v>
      </c>
      <c r="I11" s="1" t="n">
        <v>2</v>
      </c>
      <c r="J11" s="1" t="n">
        <f aca="false">IF(H11=I11,1,0)</f>
        <v>0</v>
      </c>
      <c r="K11" s="1" t="n">
        <f aca="false">J11*K10</f>
        <v>0</v>
      </c>
    </row>
    <row r="12" customFormat="false" ht="21" hidden="false" customHeight="true" outlineLevel="0" collapsed="false">
      <c r="B12" s="50"/>
      <c r="C12" s="54" t="s">
        <v>72</v>
      </c>
      <c r="D12" s="55" t="s">
        <v>122</v>
      </c>
      <c r="E12" s="53"/>
      <c r="G12" s="1" t="s">
        <v>18</v>
      </c>
      <c r="H12" s="1" t="n">
        <f aca="false">COUNTIF(C24:C25,"✔")</f>
        <v>0</v>
      </c>
      <c r="I12" s="1" t="n">
        <v>2</v>
      </c>
      <c r="J12" s="1" t="n">
        <f aca="false">IF(H12=I12,1,0)</f>
        <v>0</v>
      </c>
      <c r="K12" s="1" t="n">
        <f aca="false">J12*K11</f>
        <v>0</v>
      </c>
    </row>
    <row r="13" customFormat="false" ht="21" hidden="false" customHeight="true" outlineLevel="0" collapsed="false">
      <c r="B13" s="50"/>
      <c r="C13" s="51" t="s">
        <v>72</v>
      </c>
      <c r="D13" s="52" t="s">
        <v>123</v>
      </c>
      <c r="E13" s="53"/>
    </row>
    <row r="14" customFormat="false" ht="21" hidden="false" customHeight="true" outlineLevel="0" collapsed="false">
      <c r="B14" s="50" t="s">
        <v>124</v>
      </c>
      <c r="C14" s="54" t="s">
        <v>72</v>
      </c>
      <c r="D14" s="55" t="s">
        <v>125</v>
      </c>
      <c r="E14" s="53" t="str">
        <f aca="false">COUNTIF(C14:C16,"✔")&amp;" / 3"</f>
        <v>3 / 3</v>
      </c>
    </row>
    <row r="15" customFormat="false" ht="21" hidden="false" customHeight="true" outlineLevel="0" collapsed="false">
      <c r="B15" s="50"/>
      <c r="C15" s="51" t="s">
        <v>72</v>
      </c>
      <c r="D15" s="52" t="s">
        <v>126</v>
      </c>
      <c r="E15" s="53"/>
    </row>
    <row r="16" customFormat="false" ht="21" hidden="false" customHeight="true" outlineLevel="0" collapsed="false">
      <c r="B16" s="50"/>
      <c r="C16" s="54" t="s">
        <v>72</v>
      </c>
      <c r="D16" s="55" t="s">
        <v>127</v>
      </c>
      <c r="E16" s="53"/>
    </row>
    <row r="17" customFormat="false" ht="21" hidden="false" customHeight="true" outlineLevel="0" collapsed="false">
      <c r="B17" s="50" t="s">
        <v>128</v>
      </c>
      <c r="C17" s="51" t="s">
        <v>72</v>
      </c>
      <c r="D17" s="52" t="s">
        <v>129</v>
      </c>
      <c r="E17" s="53" t="str">
        <f aca="false">COUNTIF(C17:C21,"✔")&amp;" / 5"</f>
        <v>5 / 5</v>
      </c>
    </row>
    <row r="18" customFormat="false" ht="21" hidden="false" customHeight="true" outlineLevel="0" collapsed="false">
      <c r="B18" s="50"/>
      <c r="C18" s="54" t="s">
        <v>72</v>
      </c>
      <c r="D18" s="55" t="s">
        <v>130</v>
      </c>
      <c r="E18" s="53"/>
    </row>
    <row r="19" customFormat="false" ht="21" hidden="false" customHeight="true" outlineLevel="0" collapsed="false">
      <c r="B19" s="50"/>
      <c r="C19" s="51" t="s">
        <v>72</v>
      </c>
      <c r="D19" s="52" t="s">
        <v>131</v>
      </c>
      <c r="E19" s="53"/>
    </row>
    <row r="20" customFormat="false" ht="21" hidden="false" customHeight="true" outlineLevel="0" collapsed="false">
      <c r="B20" s="50"/>
      <c r="C20" s="54" t="s">
        <v>72</v>
      </c>
      <c r="D20" s="55" t="s">
        <v>132</v>
      </c>
      <c r="E20" s="53"/>
    </row>
    <row r="21" customFormat="false" ht="21" hidden="false" customHeight="true" outlineLevel="0" collapsed="false">
      <c r="B21" s="50"/>
      <c r="C21" s="51" t="s">
        <v>72</v>
      </c>
      <c r="D21" s="52" t="s">
        <v>133</v>
      </c>
      <c r="E21" s="53"/>
    </row>
    <row r="22" customFormat="false" ht="21" hidden="false" customHeight="true" outlineLevel="0" collapsed="false">
      <c r="B22" s="50" t="s">
        <v>134</v>
      </c>
      <c r="C22" s="54"/>
      <c r="D22" s="55" t="s">
        <v>135</v>
      </c>
      <c r="E22" s="53" t="str">
        <f aca="false">COUNTIF(C22:C23,"✔")&amp;" / 2"</f>
        <v>0 / 2</v>
      </c>
    </row>
    <row r="23" customFormat="false" ht="21" hidden="false" customHeight="true" outlineLevel="0" collapsed="false">
      <c r="B23" s="50"/>
      <c r="C23" s="51"/>
      <c r="D23" s="52" t="s">
        <v>136</v>
      </c>
      <c r="E23" s="53"/>
    </row>
    <row r="24" customFormat="false" ht="21" hidden="false" customHeight="true" outlineLevel="0" collapsed="false">
      <c r="B24" s="50" t="s">
        <v>137</v>
      </c>
      <c r="C24" s="54"/>
      <c r="D24" s="55" t="s">
        <v>138</v>
      </c>
      <c r="E24" s="53" t="str">
        <f aca="false">COUNTIF(C24:C25,"✔")&amp;" / 2"</f>
        <v>0 / 2</v>
      </c>
    </row>
    <row r="25" customFormat="false" ht="21" hidden="false" customHeight="true" outlineLevel="0" collapsed="false">
      <c r="B25" s="50"/>
      <c r="C25" s="51"/>
      <c r="D25" s="52" t="s">
        <v>139</v>
      </c>
      <c r="E25" s="53"/>
    </row>
  </sheetData>
  <mergeCells count="14">
    <mergeCell ref="B2:D2"/>
    <mergeCell ref="B3:E3"/>
    <mergeCell ref="B7:B9"/>
    <mergeCell ref="E7:E9"/>
    <mergeCell ref="B10:B13"/>
    <mergeCell ref="E10:E13"/>
    <mergeCell ref="B14:B16"/>
    <mergeCell ref="E14:E16"/>
    <mergeCell ref="B17:B21"/>
    <mergeCell ref="E17:E21"/>
    <mergeCell ref="B22:B23"/>
    <mergeCell ref="E22:E23"/>
    <mergeCell ref="B24:B25"/>
    <mergeCell ref="E24:E25"/>
  </mergeCells>
  <conditionalFormatting sqref="E7:E9">
    <cfRule type="expression" priority="2" aboveAverage="0" equalAverage="0" bottom="0" percent="0" rank="0" text="" dxfId="3">
      <formula>COUNTIF($C$7:$C$9,"✔")=3</formula>
    </cfRule>
  </conditionalFormatting>
  <conditionalFormatting sqref="E10:E13">
    <cfRule type="expression" priority="3" aboveAverage="0" equalAverage="0" bottom="0" percent="0" rank="0" text="" dxfId="3">
      <formula>COUNTIF($C$10:$C$13,"✔")=4</formula>
    </cfRule>
  </conditionalFormatting>
  <conditionalFormatting sqref="E14:E16">
    <cfRule type="expression" priority="4" aboveAverage="0" equalAverage="0" bottom="0" percent="0" rank="0" text="" dxfId="3">
      <formula>COUNTIF($C$14:$C$16,"✔")=3</formula>
    </cfRule>
  </conditionalFormatting>
  <conditionalFormatting sqref="E17:E21">
    <cfRule type="expression" priority="5" aboveAverage="0" equalAverage="0" bottom="0" percent="0" rank="0" text="" dxfId="3">
      <formula>COUNTIF($C$17:$C$21,"✔")=5</formula>
    </cfRule>
  </conditionalFormatting>
  <conditionalFormatting sqref="E22:E23">
    <cfRule type="expression" priority="6" aboveAverage="0" equalAverage="0" bottom="0" percent="0" rank="0" text="" dxfId="3">
      <formula>COUNTIF($C$22:$C$23,"✔")=2</formula>
    </cfRule>
  </conditionalFormatting>
  <conditionalFormatting sqref="E24:E25">
    <cfRule type="expression" priority="7" aboveAverage="0" equalAverage="0" bottom="0" percent="0" rank="0" text="" dxfId="3">
      <formula>COUNTIF($C$24:$C$25,"✔")=2</formula>
    </cfRule>
  </conditionalFormatting>
  <conditionalFormatting sqref="C7:C25">
    <cfRule type="expression" priority="8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25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7D12"/>
    <pageSetUpPr fitToPage="true"/>
  </sheetPr>
  <dimension ref="B1:M3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6"/>
    <col collapsed="false" customWidth="true" hidden="false" outlineLevel="0" max="4" min="4" style="1" width="95"/>
    <col collapsed="false" customWidth="true" hidden="false" outlineLevel="0" max="5" min="5" style="1" width="16"/>
    <col collapsed="false" customWidth="true" hidden="true" outlineLevel="0" max="13" min="7" style="1" width="13"/>
  </cols>
  <sheetData>
    <row r="1" customFormat="false" ht="15" hidden="false" customHeight="true" outlineLevel="0" collapsed="false">
      <c r="B1" s="31" t="s">
        <v>66</v>
      </c>
      <c r="M1" s="1" t="n">
        <f aca="false">SUM(H7:H12)</f>
        <v>17</v>
      </c>
    </row>
    <row r="2" customFormat="false" ht="39.75" hidden="false" customHeight="true" outlineLevel="0" collapsed="false">
      <c r="B2" s="32" t="s">
        <v>26</v>
      </c>
      <c r="C2" s="32"/>
      <c r="D2" s="32"/>
      <c r="E2" s="43" t="s">
        <v>25</v>
      </c>
      <c r="M2" s="1" t="n">
        <f aca="false">SUM(I7:I12)</f>
        <v>30</v>
      </c>
    </row>
    <row r="3" customFormat="false" ht="31.5" hidden="false" customHeight="true" outlineLevel="0" collapsed="false">
      <c r="B3" s="44" t="s">
        <v>140</v>
      </c>
      <c r="C3" s="44"/>
      <c r="D3" s="44"/>
      <c r="E3" s="44"/>
      <c r="M3" s="1" t="n">
        <f aca="false">SUM(K7:K12)</f>
        <v>2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1" t="n">
        <f aca="false">SUM(J7:J12)</f>
        <v>2</v>
      </c>
    </row>
    <row r="5" customFormat="false" ht="25.5" hidden="false" customHeight="true" outlineLevel="0" collapsed="false">
      <c r="B5" s="46" t="str">
        <f aca="false">IF(M3=0,"Not started",INDEX(G7:G12,M3))</f>
        <v>Bounded</v>
      </c>
      <c r="C5" s="47" t="n">
        <f aca="false">IF(M2=0,0,M1/M2)</f>
        <v>0.566666666666667</v>
      </c>
      <c r="D5" s="46" t="str">
        <f aca="false">M4&amp;" / "&amp;6</f>
        <v>2 / 6</v>
      </c>
      <c r="E5" s="48" t="s">
        <v>141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50" t="s">
        <v>142</v>
      </c>
      <c r="C7" s="51" t="s">
        <v>72</v>
      </c>
      <c r="D7" s="52" t="s">
        <v>143</v>
      </c>
      <c r="E7" s="53" t="str">
        <f aca="false">COUNTIF(C7:C10,"✔")&amp;" / 4"</f>
        <v>4 / 4</v>
      </c>
      <c r="G7" s="1" t="s">
        <v>144</v>
      </c>
      <c r="H7" s="1" t="n">
        <f aca="false">COUNTIF(C7:C10,"✔")</f>
        <v>4</v>
      </c>
      <c r="I7" s="1" t="n">
        <v>4</v>
      </c>
      <c r="J7" s="1" t="n">
        <f aca="false">IF(H7=I7,1,0)</f>
        <v>1</v>
      </c>
      <c r="K7" s="1" t="n">
        <f aca="false">J7</f>
        <v>1</v>
      </c>
    </row>
    <row r="8" customFormat="false" ht="21" hidden="false" customHeight="true" outlineLevel="0" collapsed="false">
      <c r="B8" s="50"/>
      <c r="C8" s="54" t="s">
        <v>72</v>
      </c>
      <c r="D8" s="55" t="s">
        <v>145</v>
      </c>
      <c r="E8" s="53"/>
      <c r="G8" s="1" t="s">
        <v>146</v>
      </c>
      <c r="H8" s="1" t="n">
        <f aca="false">COUNTIF(C11:C19,"✔")</f>
        <v>9</v>
      </c>
      <c r="I8" s="1" t="n">
        <v>9</v>
      </c>
      <c r="J8" s="1" t="n">
        <f aca="false">IF(H8=I8,1,0)</f>
        <v>1</v>
      </c>
      <c r="K8" s="1" t="n">
        <f aca="false">J8*K7</f>
        <v>1</v>
      </c>
    </row>
    <row r="9" customFormat="false" ht="21" hidden="false" customHeight="true" outlineLevel="0" collapsed="false">
      <c r="B9" s="50"/>
      <c r="C9" s="51" t="s">
        <v>72</v>
      </c>
      <c r="D9" s="52" t="s">
        <v>147</v>
      </c>
      <c r="E9" s="53"/>
      <c r="G9" s="1" t="s">
        <v>148</v>
      </c>
      <c r="H9" s="1" t="n">
        <f aca="false">COUNTIF(C20:C26,"✔")</f>
        <v>4</v>
      </c>
      <c r="I9" s="1" t="n">
        <v>7</v>
      </c>
      <c r="J9" s="1" t="n">
        <f aca="false">IF(H9=I9,1,0)</f>
        <v>0</v>
      </c>
      <c r="K9" s="1" t="n">
        <f aca="false">J9*K8</f>
        <v>0</v>
      </c>
    </row>
    <row r="10" customFormat="false" ht="21" hidden="false" customHeight="true" outlineLevel="0" collapsed="false">
      <c r="B10" s="50"/>
      <c r="C10" s="54" t="s">
        <v>72</v>
      </c>
      <c r="D10" s="55" t="s">
        <v>149</v>
      </c>
      <c r="E10" s="53"/>
      <c r="G10" s="1" t="s">
        <v>150</v>
      </c>
      <c r="H10" s="1" t="n">
        <f aca="false">COUNTIF(C27:C30,"✔")</f>
        <v>0</v>
      </c>
      <c r="I10" s="1" t="n">
        <v>4</v>
      </c>
      <c r="J10" s="1" t="n">
        <f aca="false">IF(H10=I10,1,0)</f>
        <v>0</v>
      </c>
      <c r="K10" s="1" t="n">
        <f aca="false">J10*K9</f>
        <v>0</v>
      </c>
    </row>
    <row r="11" customFormat="false" ht="21" hidden="false" customHeight="true" outlineLevel="0" collapsed="false">
      <c r="B11" s="50" t="s">
        <v>151</v>
      </c>
      <c r="C11" s="51" t="s">
        <v>72</v>
      </c>
      <c r="D11" s="52" t="s">
        <v>152</v>
      </c>
      <c r="E11" s="53" t="str">
        <f aca="false">COUNTIF(C11:C19,"✔")&amp;" / 9"</f>
        <v>9 / 9</v>
      </c>
      <c r="G11" s="1" t="s">
        <v>86</v>
      </c>
      <c r="H11" s="1" t="n">
        <f aca="false">COUNTIF(C31:C33,"✔")</f>
        <v>0</v>
      </c>
      <c r="I11" s="1" t="n">
        <v>3</v>
      </c>
      <c r="J11" s="1" t="n">
        <f aca="false">IF(H11=I11,1,0)</f>
        <v>0</v>
      </c>
      <c r="K11" s="1" t="n">
        <f aca="false">J11*K10</f>
        <v>0</v>
      </c>
    </row>
    <row r="12" customFormat="false" ht="21" hidden="false" customHeight="true" outlineLevel="0" collapsed="false">
      <c r="B12" s="50"/>
      <c r="C12" s="54" t="s">
        <v>72</v>
      </c>
      <c r="D12" s="55" t="s">
        <v>153</v>
      </c>
      <c r="E12" s="53"/>
      <c r="G12" s="1" t="s">
        <v>27</v>
      </c>
      <c r="H12" s="1" t="n">
        <f aca="false">COUNTIF(C34:C36,"✔")</f>
        <v>0</v>
      </c>
      <c r="I12" s="1" t="n">
        <v>3</v>
      </c>
      <c r="J12" s="1" t="n">
        <f aca="false">IF(H12=I12,1,0)</f>
        <v>0</v>
      </c>
      <c r="K12" s="1" t="n">
        <f aca="false">J12*K11</f>
        <v>0</v>
      </c>
    </row>
    <row r="13" customFormat="false" ht="21" hidden="false" customHeight="true" outlineLevel="0" collapsed="false">
      <c r="B13" s="50"/>
      <c r="C13" s="51" t="s">
        <v>72</v>
      </c>
      <c r="D13" s="52" t="s">
        <v>154</v>
      </c>
      <c r="E13" s="53"/>
    </row>
    <row r="14" customFormat="false" ht="21" hidden="false" customHeight="true" outlineLevel="0" collapsed="false">
      <c r="B14" s="50"/>
      <c r="C14" s="54" t="s">
        <v>72</v>
      </c>
      <c r="D14" s="55" t="s">
        <v>155</v>
      </c>
      <c r="E14" s="53"/>
    </row>
    <row r="15" customFormat="false" ht="21" hidden="false" customHeight="true" outlineLevel="0" collapsed="false">
      <c r="B15" s="50"/>
      <c r="C15" s="51" t="s">
        <v>72</v>
      </c>
      <c r="D15" s="52" t="s">
        <v>156</v>
      </c>
      <c r="E15" s="53"/>
    </row>
    <row r="16" customFormat="false" ht="21" hidden="false" customHeight="true" outlineLevel="0" collapsed="false">
      <c r="B16" s="50"/>
      <c r="C16" s="54" t="s">
        <v>72</v>
      </c>
      <c r="D16" s="55" t="s">
        <v>157</v>
      </c>
      <c r="E16" s="53"/>
    </row>
    <row r="17" customFormat="false" ht="21" hidden="false" customHeight="true" outlineLevel="0" collapsed="false">
      <c r="B17" s="50"/>
      <c r="C17" s="51" t="s">
        <v>72</v>
      </c>
      <c r="D17" s="52" t="s">
        <v>158</v>
      </c>
      <c r="E17" s="53"/>
    </row>
    <row r="18" customFormat="false" ht="21" hidden="false" customHeight="true" outlineLevel="0" collapsed="false">
      <c r="B18" s="50"/>
      <c r="C18" s="54" t="s">
        <v>72</v>
      </c>
      <c r="D18" s="55" t="s">
        <v>159</v>
      </c>
      <c r="E18" s="53"/>
    </row>
    <row r="19" customFormat="false" ht="21" hidden="false" customHeight="true" outlineLevel="0" collapsed="false">
      <c r="B19" s="50"/>
      <c r="C19" s="51" t="s">
        <v>72</v>
      </c>
      <c r="D19" s="52" t="s">
        <v>160</v>
      </c>
      <c r="E19" s="53"/>
    </row>
    <row r="20" customFormat="false" ht="21" hidden="false" customHeight="true" outlineLevel="0" collapsed="false">
      <c r="B20" s="50" t="s">
        <v>161</v>
      </c>
      <c r="C20" s="54" t="s">
        <v>72</v>
      </c>
      <c r="D20" s="55" t="s">
        <v>162</v>
      </c>
      <c r="E20" s="53" t="str">
        <f aca="false">COUNTIF(C20:C26,"✔")&amp;" / 7"</f>
        <v>4 / 7</v>
      </c>
    </row>
    <row r="21" customFormat="false" ht="21" hidden="false" customHeight="true" outlineLevel="0" collapsed="false">
      <c r="B21" s="50"/>
      <c r="C21" s="51" t="s">
        <v>72</v>
      </c>
      <c r="D21" s="52" t="s">
        <v>163</v>
      </c>
      <c r="E21" s="53"/>
    </row>
    <row r="22" customFormat="false" ht="21" hidden="false" customHeight="true" outlineLevel="0" collapsed="false">
      <c r="B22" s="50"/>
      <c r="C22" s="54" t="s">
        <v>72</v>
      </c>
      <c r="D22" s="55" t="s">
        <v>164</v>
      </c>
      <c r="E22" s="53"/>
    </row>
    <row r="23" customFormat="false" ht="21" hidden="false" customHeight="true" outlineLevel="0" collapsed="false">
      <c r="B23" s="50"/>
      <c r="C23" s="51" t="s">
        <v>72</v>
      </c>
      <c r="D23" s="52" t="s">
        <v>165</v>
      </c>
      <c r="E23" s="53"/>
    </row>
    <row r="24" customFormat="false" ht="21" hidden="false" customHeight="true" outlineLevel="0" collapsed="false">
      <c r="B24" s="50"/>
      <c r="C24" s="54"/>
      <c r="D24" s="55" t="s">
        <v>166</v>
      </c>
      <c r="E24" s="53"/>
    </row>
    <row r="25" customFormat="false" ht="21" hidden="false" customHeight="true" outlineLevel="0" collapsed="false">
      <c r="B25" s="50"/>
      <c r="C25" s="51"/>
      <c r="D25" s="52" t="s">
        <v>167</v>
      </c>
      <c r="E25" s="53"/>
    </row>
    <row r="26" customFormat="false" ht="21" hidden="false" customHeight="true" outlineLevel="0" collapsed="false">
      <c r="B26" s="50"/>
      <c r="C26" s="54"/>
      <c r="D26" s="55" t="s">
        <v>168</v>
      </c>
      <c r="E26" s="53"/>
    </row>
    <row r="27" customFormat="false" ht="21" hidden="false" customHeight="true" outlineLevel="0" collapsed="false">
      <c r="B27" s="50" t="s">
        <v>169</v>
      </c>
      <c r="C27" s="51"/>
      <c r="D27" s="52" t="s">
        <v>170</v>
      </c>
      <c r="E27" s="53" t="str">
        <f aca="false">COUNTIF(C27:C30,"✔")&amp;" / 4"</f>
        <v>0 / 4</v>
      </c>
    </row>
    <row r="28" customFormat="false" ht="21" hidden="false" customHeight="true" outlineLevel="0" collapsed="false">
      <c r="B28" s="50"/>
      <c r="C28" s="54"/>
      <c r="D28" s="55" t="s">
        <v>171</v>
      </c>
      <c r="E28" s="53"/>
    </row>
    <row r="29" customFormat="false" ht="21" hidden="false" customHeight="true" outlineLevel="0" collapsed="false">
      <c r="B29" s="50"/>
      <c r="C29" s="51"/>
      <c r="D29" s="52" t="s">
        <v>172</v>
      </c>
      <c r="E29" s="53"/>
    </row>
    <row r="30" customFormat="false" ht="21" hidden="false" customHeight="true" outlineLevel="0" collapsed="false">
      <c r="B30" s="50"/>
      <c r="C30" s="54"/>
      <c r="D30" s="55" t="s">
        <v>173</v>
      </c>
      <c r="E30" s="53"/>
    </row>
    <row r="31" customFormat="false" ht="21" hidden="false" customHeight="true" outlineLevel="0" collapsed="false">
      <c r="B31" s="50" t="s">
        <v>102</v>
      </c>
      <c r="C31" s="51"/>
      <c r="D31" s="52" t="s">
        <v>174</v>
      </c>
      <c r="E31" s="53" t="str">
        <f aca="false">COUNTIF(C31:C33,"✔")&amp;" / 3"</f>
        <v>0 / 3</v>
      </c>
    </row>
    <row r="32" customFormat="false" ht="21" hidden="false" customHeight="true" outlineLevel="0" collapsed="false">
      <c r="B32" s="50"/>
      <c r="C32" s="54"/>
      <c r="D32" s="55" t="s">
        <v>175</v>
      </c>
      <c r="E32" s="53"/>
    </row>
    <row r="33" customFormat="false" ht="21" hidden="false" customHeight="true" outlineLevel="0" collapsed="false">
      <c r="B33" s="50"/>
      <c r="C33" s="51"/>
      <c r="D33" s="52" t="s">
        <v>176</v>
      </c>
      <c r="E33" s="53"/>
    </row>
    <row r="34" customFormat="false" ht="21" hidden="false" customHeight="true" outlineLevel="0" collapsed="false">
      <c r="B34" s="50" t="s">
        <v>177</v>
      </c>
      <c r="C34" s="54"/>
      <c r="D34" s="55" t="s">
        <v>178</v>
      </c>
      <c r="E34" s="53" t="str">
        <f aca="false">COUNTIF(C34:C36,"✔")&amp;" / 3"</f>
        <v>0 / 3</v>
      </c>
    </row>
    <row r="35" customFormat="false" ht="21" hidden="false" customHeight="true" outlineLevel="0" collapsed="false">
      <c r="B35" s="50"/>
      <c r="C35" s="51"/>
      <c r="D35" s="52" t="s">
        <v>179</v>
      </c>
      <c r="E35" s="53"/>
    </row>
    <row r="36" customFormat="false" ht="21" hidden="false" customHeight="true" outlineLevel="0" collapsed="false">
      <c r="B36" s="50"/>
      <c r="C36" s="54"/>
      <c r="D36" s="55" t="s">
        <v>180</v>
      </c>
      <c r="E36" s="53"/>
    </row>
  </sheetData>
  <mergeCells count="14">
    <mergeCell ref="B2:D2"/>
    <mergeCell ref="B3:E3"/>
    <mergeCell ref="B7:B10"/>
    <mergeCell ref="E7:E10"/>
    <mergeCell ref="B11:B19"/>
    <mergeCell ref="E11:E19"/>
    <mergeCell ref="B20:B26"/>
    <mergeCell ref="E20:E26"/>
    <mergeCell ref="B27:B30"/>
    <mergeCell ref="E27:E30"/>
    <mergeCell ref="B31:B33"/>
    <mergeCell ref="E31:E33"/>
    <mergeCell ref="B34:B36"/>
    <mergeCell ref="E34:E36"/>
  </mergeCells>
  <conditionalFormatting sqref="E7:E10">
    <cfRule type="expression" priority="2" aboveAverage="0" equalAverage="0" bottom="0" percent="0" rank="0" text="" dxfId="3">
      <formula>COUNTIF($C$7:$C$10,"✔")=4</formula>
    </cfRule>
  </conditionalFormatting>
  <conditionalFormatting sqref="E11:E19">
    <cfRule type="expression" priority="3" aboveAverage="0" equalAverage="0" bottom="0" percent="0" rank="0" text="" dxfId="3">
      <formula>COUNTIF($C$11:$C$19,"✔")=9</formula>
    </cfRule>
  </conditionalFormatting>
  <conditionalFormatting sqref="E20:E26">
    <cfRule type="expression" priority="4" aboveAverage="0" equalAverage="0" bottom="0" percent="0" rank="0" text="" dxfId="3">
      <formula>COUNTIF($C$20:$C$26,"✔")=7</formula>
    </cfRule>
  </conditionalFormatting>
  <conditionalFormatting sqref="E27:E30">
    <cfRule type="expression" priority="5" aboveAverage="0" equalAverage="0" bottom="0" percent="0" rank="0" text="" dxfId="3">
      <formula>COUNTIF($C$27:$C$30,"✔")=4</formula>
    </cfRule>
  </conditionalFormatting>
  <conditionalFormatting sqref="E31:E33">
    <cfRule type="expression" priority="6" aboveAverage="0" equalAverage="0" bottom="0" percent="0" rank="0" text="" dxfId="3">
      <formula>COUNTIF($C$31:$C$33,"✔")=3</formula>
    </cfRule>
  </conditionalFormatting>
  <conditionalFormatting sqref="E34:E36">
    <cfRule type="expression" priority="7" aboveAverage="0" equalAverage="0" bottom="0" percent="0" rank="0" text="" dxfId="3">
      <formula>COUNTIF($C$34:$C$36,"✔")=3</formula>
    </cfRule>
  </conditionalFormatting>
  <conditionalFormatting sqref="C7:C36">
    <cfRule type="expression" priority="8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36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7D12"/>
    <pageSetUpPr fitToPage="true"/>
  </sheetPr>
  <dimension ref="B1:M3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6"/>
    <col collapsed="false" customWidth="true" hidden="false" outlineLevel="0" max="4" min="4" style="1" width="95"/>
    <col collapsed="false" customWidth="true" hidden="false" outlineLevel="0" max="5" min="5" style="1" width="16"/>
    <col collapsed="false" customWidth="true" hidden="true" outlineLevel="0" max="13" min="7" style="1" width="13"/>
  </cols>
  <sheetData>
    <row r="1" customFormat="false" ht="15" hidden="false" customHeight="true" outlineLevel="0" collapsed="false">
      <c r="B1" s="31" t="s">
        <v>66</v>
      </c>
      <c r="M1" s="1" t="n">
        <f aca="false">SUM(H7:H12)</f>
        <v>0</v>
      </c>
    </row>
    <row r="2" customFormat="false" ht="39.75" hidden="false" customHeight="true" outlineLevel="0" collapsed="false">
      <c r="B2" s="32" t="s">
        <v>28</v>
      </c>
      <c r="C2" s="32"/>
      <c r="D2" s="32"/>
      <c r="E2" s="43" t="s">
        <v>25</v>
      </c>
      <c r="M2" s="1" t="n">
        <f aca="false">SUM(I7:I12)</f>
        <v>31</v>
      </c>
    </row>
    <row r="3" customFormat="false" ht="31.5" hidden="false" customHeight="true" outlineLevel="0" collapsed="false">
      <c r="B3" s="44" t="s">
        <v>181</v>
      </c>
      <c r="C3" s="44"/>
      <c r="D3" s="44"/>
      <c r="E3" s="44"/>
      <c r="M3" s="1" t="n">
        <f aca="false">SUM(K7:K12)</f>
        <v>0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1" t="n">
        <f aca="false">SUM(J7:J12)</f>
        <v>0</v>
      </c>
    </row>
    <row r="5" customFormat="false" ht="25.5" hidden="false" customHeight="true" outlineLevel="0" collapsed="false">
      <c r="B5" s="46" t="str">
        <f aca="false">IF(M3=0,"Not started",INDEX(G7:G12,M3))</f>
        <v>Not started</v>
      </c>
      <c r="C5" s="47" t="n">
        <f aca="false">IF(M2=0,0,M1/M2)</f>
        <v>0</v>
      </c>
      <c r="D5" s="46" t="str">
        <f aca="false">M4&amp;" / "&amp;6</f>
        <v>0 / 6</v>
      </c>
      <c r="E5" s="48" t="s">
        <v>141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50" t="s">
        <v>182</v>
      </c>
      <c r="C7" s="51"/>
      <c r="D7" s="52" t="s">
        <v>183</v>
      </c>
      <c r="E7" s="53" t="str">
        <f aca="false">COUNTIF(C7:C13,"✔")&amp;" / 7"</f>
        <v>0 / 7</v>
      </c>
      <c r="G7" s="1" t="s">
        <v>184</v>
      </c>
      <c r="H7" s="1" t="n">
        <f aca="false">COUNTIF(C7:C13,"✔")</f>
        <v>0</v>
      </c>
      <c r="I7" s="1" t="n">
        <v>7</v>
      </c>
      <c r="J7" s="1" t="n">
        <f aca="false">IF(H7=I7,1,0)</f>
        <v>0</v>
      </c>
      <c r="K7" s="1" t="n">
        <f aca="false">J7</f>
        <v>0</v>
      </c>
    </row>
    <row r="8" customFormat="false" ht="21" hidden="false" customHeight="true" outlineLevel="0" collapsed="false">
      <c r="B8" s="50"/>
      <c r="C8" s="54"/>
      <c r="D8" s="55" t="s">
        <v>185</v>
      </c>
      <c r="E8" s="53"/>
      <c r="G8" s="1" t="s">
        <v>186</v>
      </c>
      <c r="H8" s="1" t="n">
        <f aca="false">COUNTIF(C14:C19,"✔")</f>
        <v>0</v>
      </c>
      <c r="I8" s="1" t="n">
        <v>6</v>
      </c>
      <c r="J8" s="1" t="n">
        <f aca="false">IF(H8=I8,1,0)</f>
        <v>0</v>
      </c>
      <c r="K8" s="1" t="n">
        <f aca="false">J8*K7</f>
        <v>0</v>
      </c>
    </row>
    <row r="9" customFormat="false" ht="21" hidden="false" customHeight="true" outlineLevel="0" collapsed="false">
      <c r="B9" s="50"/>
      <c r="C9" s="51"/>
      <c r="D9" s="52" t="s">
        <v>187</v>
      </c>
      <c r="E9" s="53"/>
      <c r="G9" s="1" t="s">
        <v>188</v>
      </c>
      <c r="H9" s="1" t="n">
        <f aca="false">COUNTIF(C20:C26,"✔")</f>
        <v>0</v>
      </c>
      <c r="I9" s="1" t="n">
        <v>7</v>
      </c>
      <c r="J9" s="1" t="n">
        <f aca="false">IF(H9=I9,1,0)</f>
        <v>0</v>
      </c>
      <c r="K9" s="1" t="n">
        <f aca="false">J9*K8</f>
        <v>0</v>
      </c>
    </row>
    <row r="10" customFormat="false" ht="21" hidden="false" customHeight="true" outlineLevel="0" collapsed="false">
      <c r="B10" s="50"/>
      <c r="C10" s="54"/>
      <c r="D10" s="55" t="s">
        <v>189</v>
      </c>
      <c r="E10" s="53"/>
      <c r="G10" s="1" t="s">
        <v>190</v>
      </c>
      <c r="H10" s="1" t="n">
        <f aca="false">COUNTIF(C27:C30,"✔")</f>
        <v>0</v>
      </c>
      <c r="I10" s="1" t="n">
        <v>4</v>
      </c>
      <c r="J10" s="1" t="n">
        <f aca="false">IF(H10=I10,1,0)</f>
        <v>0</v>
      </c>
      <c r="K10" s="1" t="n">
        <f aca="false">J10*K9</f>
        <v>0</v>
      </c>
    </row>
    <row r="11" customFormat="false" ht="21" hidden="false" customHeight="true" outlineLevel="0" collapsed="false">
      <c r="B11" s="50"/>
      <c r="C11" s="51"/>
      <c r="D11" s="52" t="s">
        <v>191</v>
      </c>
      <c r="E11" s="53"/>
      <c r="G11" s="1" t="s">
        <v>29</v>
      </c>
      <c r="H11" s="1" t="n">
        <f aca="false">COUNTIF(C31:C33,"✔")</f>
        <v>0</v>
      </c>
      <c r="I11" s="1" t="n">
        <v>3</v>
      </c>
      <c r="J11" s="1" t="n">
        <f aca="false">IF(H11=I11,1,0)</f>
        <v>0</v>
      </c>
      <c r="K11" s="1" t="n">
        <f aca="false">J11*K10</f>
        <v>0</v>
      </c>
    </row>
    <row r="12" customFormat="false" ht="21" hidden="false" customHeight="true" outlineLevel="0" collapsed="false">
      <c r="B12" s="50"/>
      <c r="C12" s="54"/>
      <c r="D12" s="55" t="s">
        <v>192</v>
      </c>
      <c r="E12" s="53"/>
      <c r="G12" s="1" t="s">
        <v>193</v>
      </c>
      <c r="H12" s="1" t="n">
        <f aca="false">COUNTIF(C34:C37,"✔")</f>
        <v>0</v>
      </c>
      <c r="I12" s="1" t="n">
        <v>4</v>
      </c>
      <c r="J12" s="1" t="n">
        <f aca="false">IF(H12=I12,1,0)</f>
        <v>0</v>
      </c>
      <c r="K12" s="1" t="n">
        <f aca="false">J12*K11</f>
        <v>0</v>
      </c>
    </row>
    <row r="13" customFormat="false" ht="21" hidden="false" customHeight="true" outlineLevel="0" collapsed="false">
      <c r="B13" s="50"/>
      <c r="C13" s="51"/>
      <c r="D13" s="52" t="s">
        <v>194</v>
      </c>
      <c r="E13" s="53"/>
    </row>
    <row r="14" customFormat="false" ht="21" hidden="false" customHeight="true" outlineLevel="0" collapsed="false">
      <c r="B14" s="50" t="s">
        <v>195</v>
      </c>
      <c r="C14" s="54"/>
      <c r="D14" s="55" t="s">
        <v>196</v>
      </c>
      <c r="E14" s="53" t="str">
        <f aca="false">COUNTIF(C14:C19,"✔")&amp;" / 6"</f>
        <v>0 / 6</v>
      </c>
    </row>
    <row r="15" customFormat="false" ht="21" hidden="false" customHeight="true" outlineLevel="0" collapsed="false">
      <c r="B15" s="50"/>
      <c r="C15" s="51"/>
      <c r="D15" s="52" t="s">
        <v>197</v>
      </c>
      <c r="E15" s="53"/>
    </row>
    <row r="16" customFormat="false" ht="21" hidden="false" customHeight="true" outlineLevel="0" collapsed="false">
      <c r="B16" s="50"/>
      <c r="C16" s="54"/>
      <c r="D16" s="55" t="s">
        <v>198</v>
      </c>
      <c r="E16" s="53"/>
    </row>
    <row r="17" customFormat="false" ht="21" hidden="false" customHeight="true" outlineLevel="0" collapsed="false">
      <c r="B17" s="50"/>
      <c r="C17" s="51"/>
      <c r="D17" s="52" t="s">
        <v>199</v>
      </c>
      <c r="E17" s="53"/>
    </row>
    <row r="18" customFormat="false" ht="21" hidden="false" customHeight="true" outlineLevel="0" collapsed="false">
      <c r="B18" s="50"/>
      <c r="C18" s="54"/>
      <c r="D18" s="55" t="s">
        <v>200</v>
      </c>
      <c r="E18" s="53"/>
    </row>
    <row r="19" customFormat="false" ht="21" hidden="false" customHeight="true" outlineLevel="0" collapsed="false">
      <c r="B19" s="50"/>
      <c r="C19" s="51"/>
      <c r="D19" s="52" t="s">
        <v>201</v>
      </c>
      <c r="E19" s="53"/>
    </row>
    <row r="20" customFormat="false" ht="21" hidden="false" customHeight="true" outlineLevel="0" collapsed="false">
      <c r="B20" s="50" t="s">
        <v>202</v>
      </c>
      <c r="C20" s="54"/>
      <c r="D20" s="55" t="s">
        <v>203</v>
      </c>
      <c r="E20" s="53" t="str">
        <f aca="false">COUNTIF(C20:C26,"✔")&amp;" / 7"</f>
        <v>0 / 7</v>
      </c>
    </row>
    <row r="21" customFormat="false" ht="21" hidden="false" customHeight="true" outlineLevel="0" collapsed="false">
      <c r="B21" s="50"/>
      <c r="C21" s="51"/>
      <c r="D21" s="52" t="s">
        <v>204</v>
      </c>
      <c r="E21" s="53"/>
    </row>
    <row r="22" customFormat="false" ht="21" hidden="false" customHeight="true" outlineLevel="0" collapsed="false">
      <c r="B22" s="50"/>
      <c r="C22" s="54"/>
      <c r="D22" s="55" t="s">
        <v>205</v>
      </c>
      <c r="E22" s="53"/>
    </row>
    <row r="23" customFormat="false" ht="21" hidden="false" customHeight="true" outlineLevel="0" collapsed="false">
      <c r="B23" s="50"/>
      <c r="C23" s="51"/>
      <c r="D23" s="52" t="s">
        <v>206</v>
      </c>
      <c r="E23" s="53"/>
    </row>
    <row r="24" customFormat="false" ht="21" hidden="false" customHeight="true" outlineLevel="0" collapsed="false">
      <c r="B24" s="50"/>
      <c r="C24" s="54"/>
      <c r="D24" s="55" t="s">
        <v>207</v>
      </c>
      <c r="E24" s="53"/>
    </row>
    <row r="25" customFormat="false" ht="21" hidden="false" customHeight="true" outlineLevel="0" collapsed="false">
      <c r="B25" s="50"/>
      <c r="C25" s="51"/>
      <c r="D25" s="52" t="s">
        <v>208</v>
      </c>
      <c r="E25" s="53"/>
    </row>
    <row r="26" customFormat="false" ht="21" hidden="false" customHeight="true" outlineLevel="0" collapsed="false">
      <c r="B26" s="50"/>
      <c r="C26" s="54"/>
      <c r="D26" s="55" t="s">
        <v>209</v>
      </c>
      <c r="E26" s="53"/>
    </row>
    <row r="27" customFormat="false" ht="21" hidden="false" customHeight="true" outlineLevel="0" collapsed="false">
      <c r="B27" s="50" t="s">
        <v>210</v>
      </c>
      <c r="C27" s="51"/>
      <c r="D27" s="52" t="s">
        <v>211</v>
      </c>
      <c r="E27" s="53" t="str">
        <f aca="false">COUNTIF(C27:C30,"✔")&amp;" / 4"</f>
        <v>0 / 4</v>
      </c>
    </row>
    <row r="28" customFormat="false" ht="21" hidden="false" customHeight="true" outlineLevel="0" collapsed="false">
      <c r="B28" s="50"/>
      <c r="C28" s="54"/>
      <c r="D28" s="55" t="s">
        <v>212</v>
      </c>
      <c r="E28" s="53"/>
    </row>
    <row r="29" customFormat="false" ht="21" hidden="false" customHeight="true" outlineLevel="0" collapsed="false">
      <c r="B29" s="50"/>
      <c r="C29" s="51"/>
      <c r="D29" s="52" t="s">
        <v>213</v>
      </c>
      <c r="E29" s="53"/>
    </row>
    <row r="30" customFormat="false" ht="21" hidden="false" customHeight="true" outlineLevel="0" collapsed="false">
      <c r="B30" s="50"/>
      <c r="C30" s="54"/>
      <c r="D30" s="55" t="s">
        <v>214</v>
      </c>
      <c r="E30" s="53"/>
    </row>
    <row r="31" customFormat="false" ht="21" hidden="false" customHeight="true" outlineLevel="0" collapsed="false">
      <c r="B31" s="50" t="s">
        <v>215</v>
      </c>
      <c r="C31" s="51"/>
      <c r="D31" s="52" t="s">
        <v>216</v>
      </c>
      <c r="E31" s="53" t="str">
        <f aca="false">COUNTIF(C31:C33,"✔")&amp;" / 3"</f>
        <v>0 / 3</v>
      </c>
    </row>
    <row r="32" customFormat="false" ht="21" hidden="false" customHeight="true" outlineLevel="0" collapsed="false">
      <c r="B32" s="50"/>
      <c r="C32" s="54"/>
      <c r="D32" s="55" t="s">
        <v>217</v>
      </c>
      <c r="E32" s="53"/>
    </row>
    <row r="33" customFormat="false" ht="21" hidden="false" customHeight="true" outlineLevel="0" collapsed="false">
      <c r="B33" s="50"/>
      <c r="C33" s="51"/>
      <c r="D33" s="52" t="s">
        <v>218</v>
      </c>
      <c r="E33" s="53"/>
    </row>
    <row r="34" customFormat="false" ht="21" hidden="false" customHeight="true" outlineLevel="0" collapsed="false">
      <c r="B34" s="50" t="s">
        <v>219</v>
      </c>
      <c r="C34" s="54"/>
      <c r="D34" s="55" t="s">
        <v>220</v>
      </c>
      <c r="E34" s="53" t="str">
        <f aca="false">COUNTIF(C34:C37,"✔")&amp;" / 4"</f>
        <v>0 / 4</v>
      </c>
    </row>
    <row r="35" customFormat="false" ht="21" hidden="false" customHeight="true" outlineLevel="0" collapsed="false">
      <c r="B35" s="50"/>
      <c r="C35" s="51"/>
      <c r="D35" s="52" t="s">
        <v>221</v>
      </c>
      <c r="E35" s="53"/>
    </row>
    <row r="36" customFormat="false" ht="21" hidden="false" customHeight="true" outlineLevel="0" collapsed="false">
      <c r="B36" s="50"/>
      <c r="C36" s="54"/>
      <c r="D36" s="55" t="s">
        <v>222</v>
      </c>
      <c r="E36" s="53"/>
    </row>
    <row r="37" customFormat="false" ht="21" hidden="false" customHeight="true" outlineLevel="0" collapsed="false">
      <c r="B37" s="50"/>
      <c r="C37" s="51"/>
      <c r="D37" s="52" t="s">
        <v>223</v>
      </c>
      <c r="E37" s="53"/>
    </row>
  </sheetData>
  <mergeCells count="14">
    <mergeCell ref="B2:D2"/>
    <mergeCell ref="B3:E3"/>
    <mergeCell ref="B7:B13"/>
    <mergeCell ref="E7:E13"/>
    <mergeCell ref="B14:B19"/>
    <mergeCell ref="E14:E19"/>
    <mergeCell ref="B20:B26"/>
    <mergeCell ref="E20:E26"/>
    <mergeCell ref="B27:B30"/>
    <mergeCell ref="E27:E30"/>
    <mergeCell ref="B31:B33"/>
    <mergeCell ref="E31:E33"/>
    <mergeCell ref="B34:B37"/>
    <mergeCell ref="E34:E37"/>
  </mergeCells>
  <conditionalFormatting sqref="E7:E10">
    <cfRule type="expression" priority="2" aboveAverage="0" equalAverage="0" bottom="0" percent="0" rank="0" text="" dxfId="3">
      <formula>COUNTIF($C$7:$C$10,"✔")=4</formula>
    </cfRule>
  </conditionalFormatting>
  <conditionalFormatting sqref="E11:E14">
    <cfRule type="expression" priority="3" aboveAverage="0" equalAverage="0" bottom="0" percent="0" rank="0" text="" dxfId="3">
      <formula>COUNTIF($C$11:$C$14,"✔")=4</formula>
    </cfRule>
  </conditionalFormatting>
  <conditionalFormatting sqref="E15:E18">
    <cfRule type="expression" priority="4" aboveAverage="0" equalAverage="0" bottom="0" percent="0" rank="0" text="" dxfId="3">
      <formula>COUNTIF($C$15:$C$18,"✔")=4</formula>
    </cfRule>
  </conditionalFormatting>
  <conditionalFormatting sqref="E19:E22">
    <cfRule type="expression" priority="5" aboveAverage="0" equalAverage="0" bottom="0" percent="0" rank="0" text="" dxfId="3">
      <formula>COUNTIF($C$19:$C$22,"✔")=4</formula>
    </cfRule>
  </conditionalFormatting>
  <conditionalFormatting sqref="E23:E25">
    <cfRule type="expression" priority="6" aboveAverage="0" equalAverage="0" bottom="0" percent="0" rank="0" text="" dxfId="3">
      <formula>COUNTIF($C$23:$C$25,"✔")=3</formula>
    </cfRule>
  </conditionalFormatting>
  <conditionalFormatting sqref="E26:E27">
    <cfRule type="expression" priority="7" aboveAverage="0" equalAverage="0" bottom="0" percent="0" rank="0" text="" dxfId="3">
      <formula>COUNTIF($C$26:$C$27,"✔")=2</formula>
    </cfRule>
  </conditionalFormatting>
  <conditionalFormatting sqref="C7:C27">
    <cfRule type="expression" priority="8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27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5E9C"/>
    <pageSetUpPr fitToPage="true"/>
  </sheetPr>
  <dimension ref="B1:M25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6"/>
    <col collapsed="false" customWidth="true" hidden="false" outlineLevel="0" max="4" min="4" style="1" width="95"/>
    <col collapsed="false" customWidth="true" hidden="false" outlineLevel="0" max="5" min="5" style="1" width="16"/>
    <col collapsed="false" customWidth="true" hidden="true" outlineLevel="0" max="13" min="7" style="1" width="13"/>
  </cols>
  <sheetData>
    <row r="1" customFormat="false" ht="15" hidden="false" customHeight="true" outlineLevel="0" collapsed="false">
      <c r="B1" s="31" t="s">
        <v>66</v>
      </c>
      <c r="M1" s="1" t="n">
        <f aca="false">SUM(H7:H12)</f>
        <v>11</v>
      </c>
    </row>
    <row r="2" customFormat="false" ht="39.75" hidden="false" customHeight="true" outlineLevel="0" collapsed="false">
      <c r="B2" s="32" t="s">
        <v>40</v>
      </c>
      <c r="C2" s="32"/>
      <c r="D2" s="32"/>
      <c r="E2" s="43" t="s">
        <v>25</v>
      </c>
      <c r="M2" s="1" t="n">
        <f aca="false">SUM(I7:I12)</f>
        <v>19</v>
      </c>
    </row>
    <row r="3" customFormat="false" ht="31.5" hidden="false" customHeight="true" outlineLevel="0" collapsed="false">
      <c r="B3" s="44" t="s">
        <v>224</v>
      </c>
      <c r="C3" s="44"/>
      <c r="D3" s="44"/>
      <c r="E3" s="44"/>
      <c r="M3" s="1" t="n">
        <f aca="false">SUM(K7:K12)</f>
        <v>2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1" t="n">
        <f aca="false">SUM(J7:J12)</f>
        <v>2</v>
      </c>
    </row>
    <row r="5" customFormat="false" ht="25.5" hidden="false" customHeight="true" outlineLevel="0" collapsed="false">
      <c r="B5" s="46" t="str">
        <f aca="false">IF(M3=0,"Not started",INDEX(G7:G12,M3))</f>
        <v>Prepared</v>
      </c>
      <c r="C5" s="47" t="n">
        <f aca="false">IF(M2=0,0,M1/M2)</f>
        <v>0.578947368421053</v>
      </c>
      <c r="D5" s="46" t="str">
        <f aca="false">M4&amp;" / "&amp;6</f>
        <v>2 / 6</v>
      </c>
      <c r="E5" s="48" t="s">
        <v>225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50" t="s">
        <v>226</v>
      </c>
      <c r="C7" s="51" t="s">
        <v>72</v>
      </c>
      <c r="D7" s="52" t="s">
        <v>227</v>
      </c>
      <c r="E7" s="53" t="str">
        <f aca="false">COUNTIF(C7:C10,"✔")&amp;" / 4"</f>
        <v>4 / 4</v>
      </c>
      <c r="G7" s="1" t="s">
        <v>228</v>
      </c>
      <c r="H7" s="1" t="n">
        <f aca="false">COUNTIF(C7:C10,"✔")</f>
        <v>4</v>
      </c>
      <c r="I7" s="1" t="n">
        <v>4</v>
      </c>
      <c r="J7" s="1" t="n">
        <f aca="false">IF(H7=I7,1,0)</f>
        <v>1</v>
      </c>
      <c r="K7" s="1" t="n">
        <f aca="false">J7</f>
        <v>1</v>
      </c>
    </row>
    <row r="8" customFormat="false" ht="21" hidden="false" customHeight="true" outlineLevel="0" collapsed="false">
      <c r="B8" s="50"/>
      <c r="C8" s="54" t="s">
        <v>72</v>
      </c>
      <c r="D8" s="55" t="s">
        <v>229</v>
      </c>
      <c r="E8" s="53"/>
      <c r="G8" s="1" t="s">
        <v>230</v>
      </c>
      <c r="H8" s="1" t="n">
        <f aca="false">COUNTIF(C11:C15,"✔")</f>
        <v>5</v>
      </c>
      <c r="I8" s="1" t="n">
        <v>5</v>
      </c>
      <c r="J8" s="1" t="n">
        <f aca="false">IF(H8=I8,1,0)</f>
        <v>1</v>
      </c>
      <c r="K8" s="1" t="n">
        <f aca="false">J8*K7</f>
        <v>1</v>
      </c>
    </row>
    <row r="9" customFormat="false" ht="21" hidden="false" customHeight="true" outlineLevel="0" collapsed="false">
      <c r="B9" s="50"/>
      <c r="C9" s="51" t="s">
        <v>72</v>
      </c>
      <c r="D9" s="52" t="s">
        <v>231</v>
      </c>
      <c r="E9" s="53"/>
      <c r="G9" s="1" t="s">
        <v>232</v>
      </c>
      <c r="H9" s="1" t="n">
        <f aca="false">COUNTIF(C16:C18,"✔")</f>
        <v>2</v>
      </c>
      <c r="I9" s="1" t="n">
        <v>3</v>
      </c>
      <c r="J9" s="1" t="n">
        <f aca="false">IF(H9=I9,1,0)</f>
        <v>0</v>
      </c>
      <c r="K9" s="1" t="n">
        <f aca="false">J9*K8</f>
        <v>0</v>
      </c>
    </row>
    <row r="10" customFormat="false" ht="21" hidden="false" customHeight="true" outlineLevel="0" collapsed="false">
      <c r="B10" s="50"/>
      <c r="C10" s="54" t="s">
        <v>72</v>
      </c>
      <c r="D10" s="55" t="s">
        <v>233</v>
      </c>
      <c r="E10" s="53"/>
      <c r="G10" s="1" t="s">
        <v>234</v>
      </c>
      <c r="H10" s="1" t="n">
        <f aca="false">COUNTIF(C19:C21,"✔")</f>
        <v>0</v>
      </c>
      <c r="I10" s="1" t="n">
        <v>3</v>
      </c>
      <c r="J10" s="1" t="n">
        <f aca="false">IF(H10=I10,1,0)</f>
        <v>0</v>
      </c>
      <c r="K10" s="1" t="n">
        <f aca="false">J10*K9</f>
        <v>0</v>
      </c>
    </row>
    <row r="11" customFormat="false" ht="21" hidden="false" customHeight="true" outlineLevel="0" collapsed="false">
      <c r="B11" s="50" t="s">
        <v>235</v>
      </c>
      <c r="C11" s="51" t="s">
        <v>72</v>
      </c>
      <c r="D11" s="52" t="s">
        <v>236</v>
      </c>
      <c r="E11" s="53" t="str">
        <f aca="false">COUNTIF(C11:C15,"✔")&amp;" / 5"</f>
        <v>5 / 5</v>
      </c>
      <c r="G11" s="1" t="s">
        <v>237</v>
      </c>
      <c r="H11" s="1" t="n">
        <f aca="false">COUNTIF(C22:C23,"✔")</f>
        <v>0</v>
      </c>
      <c r="I11" s="1" t="n">
        <v>2</v>
      </c>
      <c r="J11" s="1" t="n">
        <f aca="false">IF(H11=I11,1,0)</f>
        <v>0</v>
      </c>
      <c r="K11" s="1" t="n">
        <f aca="false">J11*K10</f>
        <v>0</v>
      </c>
    </row>
    <row r="12" customFormat="false" ht="21" hidden="false" customHeight="true" outlineLevel="0" collapsed="false">
      <c r="B12" s="50"/>
      <c r="C12" s="54" t="s">
        <v>72</v>
      </c>
      <c r="D12" s="55" t="s">
        <v>238</v>
      </c>
      <c r="E12" s="53"/>
      <c r="G12" s="1" t="s">
        <v>41</v>
      </c>
      <c r="H12" s="1" t="n">
        <f aca="false">COUNTIF(C24:C25,"✔")</f>
        <v>0</v>
      </c>
      <c r="I12" s="1" t="n">
        <v>2</v>
      </c>
      <c r="J12" s="1" t="n">
        <f aca="false">IF(H12=I12,1,0)</f>
        <v>0</v>
      </c>
      <c r="K12" s="1" t="n">
        <f aca="false">J12*K11</f>
        <v>0</v>
      </c>
    </row>
    <row r="13" customFormat="false" ht="21" hidden="false" customHeight="true" outlineLevel="0" collapsed="false">
      <c r="B13" s="50"/>
      <c r="C13" s="51" t="s">
        <v>72</v>
      </c>
      <c r="D13" s="52" t="s">
        <v>239</v>
      </c>
      <c r="E13" s="53"/>
    </row>
    <row r="14" customFormat="false" ht="21" hidden="false" customHeight="true" outlineLevel="0" collapsed="false">
      <c r="B14" s="50"/>
      <c r="C14" s="54" t="s">
        <v>72</v>
      </c>
      <c r="D14" s="55" t="s">
        <v>240</v>
      </c>
      <c r="E14" s="53"/>
    </row>
    <row r="15" customFormat="false" ht="21" hidden="false" customHeight="true" outlineLevel="0" collapsed="false">
      <c r="B15" s="50"/>
      <c r="C15" s="51" t="s">
        <v>72</v>
      </c>
      <c r="D15" s="52" t="s">
        <v>241</v>
      </c>
      <c r="E15" s="53"/>
    </row>
    <row r="16" customFormat="false" ht="21" hidden="false" customHeight="true" outlineLevel="0" collapsed="false">
      <c r="B16" s="50" t="s">
        <v>242</v>
      </c>
      <c r="C16" s="54" t="s">
        <v>72</v>
      </c>
      <c r="D16" s="55" t="s">
        <v>243</v>
      </c>
      <c r="E16" s="53" t="str">
        <f aca="false">COUNTIF(C16:C18,"✔")&amp;" / 3"</f>
        <v>2 / 3</v>
      </c>
    </row>
    <row r="17" customFormat="false" ht="21" hidden="false" customHeight="true" outlineLevel="0" collapsed="false">
      <c r="B17" s="50"/>
      <c r="C17" s="51" t="s">
        <v>72</v>
      </c>
      <c r="D17" s="52" t="s">
        <v>244</v>
      </c>
      <c r="E17" s="53"/>
    </row>
    <row r="18" customFormat="false" ht="21" hidden="false" customHeight="true" outlineLevel="0" collapsed="false">
      <c r="B18" s="50"/>
      <c r="C18" s="54"/>
      <c r="D18" s="55" t="s">
        <v>245</v>
      </c>
      <c r="E18" s="53"/>
    </row>
    <row r="19" customFormat="false" ht="21" hidden="false" customHeight="true" outlineLevel="0" collapsed="false">
      <c r="B19" s="50" t="s">
        <v>246</v>
      </c>
      <c r="C19" s="51"/>
      <c r="D19" s="52" t="s">
        <v>247</v>
      </c>
      <c r="E19" s="53" t="str">
        <f aca="false">COUNTIF(C19:C21,"✔")&amp;" / 3"</f>
        <v>0 / 3</v>
      </c>
    </row>
    <row r="20" customFormat="false" ht="21" hidden="false" customHeight="true" outlineLevel="0" collapsed="false">
      <c r="B20" s="50"/>
      <c r="C20" s="54"/>
      <c r="D20" s="55" t="s">
        <v>248</v>
      </c>
      <c r="E20" s="53"/>
    </row>
    <row r="21" customFormat="false" ht="21" hidden="false" customHeight="true" outlineLevel="0" collapsed="false">
      <c r="B21" s="50"/>
      <c r="C21" s="51"/>
      <c r="D21" s="52" t="s">
        <v>249</v>
      </c>
      <c r="E21" s="53"/>
    </row>
    <row r="22" customFormat="false" ht="21" hidden="false" customHeight="true" outlineLevel="0" collapsed="false">
      <c r="B22" s="50" t="s">
        <v>250</v>
      </c>
      <c r="C22" s="54"/>
      <c r="D22" s="55" t="s">
        <v>251</v>
      </c>
      <c r="E22" s="53" t="str">
        <f aca="false">COUNTIF(C22:C23,"✔")&amp;" / 2"</f>
        <v>0 / 2</v>
      </c>
    </row>
    <row r="23" customFormat="false" ht="21" hidden="false" customHeight="true" outlineLevel="0" collapsed="false">
      <c r="B23" s="50"/>
      <c r="C23" s="51"/>
      <c r="D23" s="52" t="s">
        <v>252</v>
      </c>
      <c r="E23" s="53"/>
    </row>
    <row r="24" customFormat="false" ht="21" hidden="false" customHeight="true" outlineLevel="0" collapsed="false">
      <c r="B24" s="50" t="s">
        <v>253</v>
      </c>
      <c r="C24" s="54"/>
      <c r="D24" s="55" t="s">
        <v>254</v>
      </c>
      <c r="E24" s="53" t="str">
        <f aca="false">COUNTIF(C24:C25,"✔")&amp;" / 2"</f>
        <v>0 / 2</v>
      </c>
    </row>
    <row r="25" customFormat="false" ht="21" hidden="false" customHeight="true" outlineLevel="0" collapsed="false">
      <c r="B25" s="50"/>
      <c r="C25" s="51"/>
      <c r="D25" s="52" t="s">
        <v>255</v>
      </c>
      <c r="E25" s="53"/>
    </row>
  </sheetData>
  <mergeCells count="14">
    <mergeCell ref="B2:D2"/>
    <mergeCell ref="B3:E3"/>
    <mergeCell ref="B7:B10"/>
    <mergeCell ref="E7:E10"/>
    <mergeCell ref="B11:B15"/>
    <mergeCell ref="E11:E15"/>
    <mergeCell ref="B16:B18"/>
    <mergeCell ref="E16:E18"/>
    <mergeCell ref="B19:B21"/>
    <mergeCell ref="E19:E21"/>
    <mergeCell ref="B22:B23"/>
    <mergeCell ref="E22:E23"/>
    <mergeCell ref="B24:B25"/>
    <mergeCell ref="E24:E25"/>
  </mergeCells>
  <conditionalFormatting sqref="E7:E10">
    <cfRule type="expression" priority="2" aboveAverage="0" equalAverage="0" bottom="0" percent="0" rank="0" text="" dxfId="3">
      <formula>COUNTIF($C$7:$C$10,"✔")=4</formula>
    </cfRule>
  </conditionalFormatting>
  <conditionalFormatting sqref="E11:E15">
    <cfRule type="expression" priority="3" aboveAverage="0" equalAverage="0" bottom="0" percent="0" rank="0" text="" dxfId="3">
      <formula>COUNTIF($C$11:$C$15,"✔")=5</formula>
    </cfRule>
  </conditionalFormatting>
  <conditionalFormatting sqref="E16:E18">
    <cfRule type="expression" priority="4" aboveAverage="0" equalAverage="0" bottom="0" percent="0" rank="0" text="" dxfId="3">
      <formula>COUNTIF($C$16:$C$18,"✔")=3</formula>
    </cfRule>
  </conditionalFormatting>
  <conditionalFormatting sqref="E19:E21">
    <cfRule type="expression" priority="5" aboveAverage="0" equalAverage="0" bottom="0" percent="0" rank="0" text="" dxfId="3">
      <formula>COUNTIF($C$19:$C$21,"✔")=3</formula>
    </cfRule>
  </conditionalFormatting>
  <conditionalFormatting sqref="E22:E23">
    <cfRule type="expression" priority="6" aboveAverage="0" equalAverage="0" bottom="0" percent="0" rank="0" text="" dxfId="3">
      <formula>COUNTIF($C$22:$C$23,"✔")=2</formula>
    </cfRule>
  </conditionalFormatting>
  <conditionalFormatting sqref="E24:E25">
    <cfRule type="expression" priority="7" aboveAverage="0" equalAverage="0" bottom="0" percent="0" rank="0" text="" dxfId="3">
      <formula>COUNTIF($C$24:$C$25,"✔")=2</formula>
    </cfRule>
  </conditionalFormatting>
  <conditionalFormatting sqref="C7:C25">
    <cfRule type="expression" priority="8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25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5E9C"/>
    <pageSetUpPr fitToPage="true"/>
  </sheetPr>
  <dimension ref="B1:M2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6"/>
    <col collapsed="false" customWidth="true" hidden="false" outlineLevel="0" max="4" min="4" style="1" width="95"/>
    <col collapsed="false" customWidth="true" hidden="false" outlineLevel="0" max="5" min="5" style="1" width="16"/>
    <col collapsed="false" customWidth="true" hidden="true" outlineLevel="0" max="13" min="7" style="1" width="13"/>
  </cols>
  <sheetData>
    <row r="1" customFormat="false" ht="15" hidden="false" customHeight="true" outlineLevel="0" collapsed="false">
      <c r="B1" s="31" t="s">
        <v>66</v>
      </c>
      <c r="M1" s="1" t="n">
        <f aca="false">SUM(H7:H11)</f>
        <v>11</v>
      </c>
    </row>
    <row r="2" customFormat="false" ht="39.75" hidden="false" customHeight="true" outlineLevel="0" collapsed="false">
      <c r="B2" s="32" t="s">
        <v>42</v>
      </c>
      <c r="C2" s="32"/>
      <c r="D2" s="32"/>
      <c r="E2" s="43" t="s">
        <v>25</v>
      </c>
      <c r="M2" s="1" t="n">
        <f aca="false">SUM(I7:I11)</f>
        <v>17</v>
      </c>
    </row>
    <row r="3" customFormat="false" ht="31.5" hidden="false" customHeight="true" outlineLevel="0" collapsed="false">
      <c r="B3" s="44" t="s">
        <v>256</v>
      </c>
      <c r="C3" s="44"/>
      <c r="D3" s="44"/>
      <c r="E3" s="44"/>
      <c r="M3" s="1" t="n">
        <f aca="false">SUM(K7:K11)</f>
        <v>2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1" t="n">
        <f aca="false">SUM(J7:J11)</f>
        <v>2</v>
      </c>
    </row>
    <row r="5" customFormat="false" ht="25.5" hidden="false" customHeight="true" outlineLevel="0" collapsed="false">
      <c r="B5" s="46" t="str">
        <f aca="false">IF(M3=0,"Not started",INDEX(G7:G11,M3))</f>
        <v>Formed</v>
      </c>
      <c r="C5" s="47" t="n">
        <f aca="false">IF(M2=0,0,M1/M2)</f>
        <v>0.647058823529412</v>
      </c>
      <c r="D5" s="46" t="str">
        <f aca="false">M4&amp;" / "&amp;5</f>
        <v>2 / 5</v>
      </c>
      <c r="E5" s="48" t="s">
        <v>225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50" t="s">
        <v>257</v>
      </c>
      <c r="C7" s="51" t="s">
        <v>72</v>
      </c>
      <c r="D7" s="52" t="s">
        <v>258</v>
      </c>
      <c r="E7" s="53" t="str">
        <f aca="false">COUNTIF(C7:C11,"✔")&amp;" / 5"</f>
        <v>5 / 5</v>
      </c>
      <c r="G7" s="1" t="s">
        <v>259</v>
      </c>
      <c r="H7" s="1" t="n">
        <f aca="false">COUNTIF(C7:C11,"✔")</f>
        <v>5</v>
      </c>
      <c r="I7" s="1" t="n">
        <v>5</v>
      </c>
      <c r="J7" s="1" t="n">
        <f aca="false">IF(H7=I7,1,0)</f>
        <v>1</v>
      </c>
      <c r="K7" s="1" t="n">
        <f aca="false">J7</f>
        <v>1</v>
      </c>
    </row>
    <row r="8" customFormat="false" ht="21" hidden="false" customHeight="true" outlineLevel="0" collapsed="false">
      <c r="B8" s="50"/>
      <c r="C8" s="54" t="s">
        <v>72</v>
      </c>
      <c r="D8" s="55" t="s">
        <v>260</v>
      </c>
      <c r="E8" s="53"/>
      <c r="G8" s="1" t="s">
        <v>261</v>
      </c>
      <c r="H8" s="1" t="n">
        <f aca="false">COUNTIF(C12:C15,"✔")</f>
        <v>4</v>
      </c>
      <c r="I8" s="1" t="n">
        <v>4</v>
      </c>
      <c r="J8" s="1" t="n">
        <f aca="false">IF(H8=I8,1,0)</f>
        <v>1</v>
      </c>
      <c r="K8" s="1" t="n">
        <f aca="false">J8*K7</f>
        <v>1</v>
      </c>
    </row>
    <row r="9" customFormat="false" ht="21" hidden="false" customHeight="true" outlineLevel="0" collapsed="false">
      <c r="B9" s="50"/>
      <c r="C9" s="51" t="s">
        <v>72</v>
      </c>
      <c r="D9" s="52" t="s">
        <v>262</v>
      </c>
      <c r="E9" s="53"/>
      <c r="G9" s="1" t="s">
        <v>263</v>
      </c>
      <c r="H9" s="1" t="n">
        <f aca="false">COUNTIF(C16:C18,"✔")</f>
        <v>2</v>
      </c>
      <c r="I9" s="1" t="n">
        <v>3</v>
      </c>
      <c r="J9" s="1" t="n">
        <f aca="false">IF(H9=I9,1,0)</f>
        <v>0</v>
      </c>
      <c r="K9" s="1" t="n">
        <f aca="false">J9*K8</f>
        <v>0</v>
      </c>
    </row>
    <row r="10" customFormat="false" ht="21" hidden="false" customHeight="true" outlineLevel="0" collapsed="false">
      <c r="B10" s="50"/>
      <c r="C10" s="54" t="s">
        <v>72</v>
      </c>
      <c r="D10" s="55" t="s">
        <v>264</v>
      </c>
      <c r="E10" s="53"/>
      <c r="G10" s="1" t="s">
        <v>43</v>
      </c>
      <c r="H10" s="1" t="n">
        <f aca="false">COUNTIF(C19:C21,"✔")</f>
        <v>0</v>
      </c>
      <c r="I10" s="1" t="n">
        <v>3</v>
      </c>
      <c r="J10" s="1" t="n">
        <f aca="false">IF(H10=I10,1,0)</f>
        <v>0</v>
      </c>
      <c r="K10" s="1" t="n">
        <f aca="false">J10*K9</f>
        <v>0</v>
      </c>
    </row>
    <row r="11" customFormat="false" ht="21" hidden="false" customHeight="true" outlineLevel="0" collapsed="false">
      <c r="B11" s="50"/>
      <c r="C11" s="51" t="s">
        <v>72</v>
      </c>
      <c r="D11" s="52" t="s">
        <v>265</v>
      </c>
      <c r="E11" s="53"/>
      <c r="G11" s="1" t="s">
        <v>266</v>
      </c>
      <c r="H11" s="1" t="n">
        <f aca="false">COUNTIF(C22:C23,"✔")</f>
        <v>0</v>
      </c>
      <c r="I11" s="1" t="n">
        <v>2</v>
      </c>
      <c r="J11" s="1" t="n">
        <f aca="false">IF(H11=I11,1,0)</f>
        <v>0</v>
      </c>
      <c r="K11" s="1" t="n">
        <f aca="false">J11*K10</f>
        <v>0</v>
      </c>
    </row>
    <row r="12" customFormat="false" ht="21" hidden="false" customHeight="true" outlineLevel="0" collapsed="false">
      <c r="B12" s="50" t="s">
        <v>267</v>
      </c>
      <c r="C12" s="54" t="s">
        <v>72</v>
      </c>
      <c r="D12" s="55" t="s">
        <v>268</v>
      </c>
      <c r="E12" s="53" t="str">
        <f aca="false">COUNTIF(C12:C15,"✔")&amp;" / 4"</f>
        <v>4 / 4</v>
      </c>
    </row>
    <row r="13" customFormat="false" ht="21" hidden="false" customHeight="true" outlineLevel="0" collapsed="false">
      <c r="B13" s="50"/>
      <c r="C13" s="51" t="s">
        <v>72</v>
      </c>
      <c r="D13" s="52" t="s">
        <v>269</v>
      </c>
      <c r="E13" s="53"/>
    </row>
    <row r="14" customFormat="false" ht="21" hidden="false" customHeight="true" outlineLevel="0" collapsed="false">
      <c r="B14" s="50"/>
      <c r="C14" s="54" t="s">
        <v>72</v>
      </c>
      <c r="D14" s="55" t="s">
        <v>270</v>
      </c>
      <c r="E14" s="53"/>
    </row>
    <row r="15" customFormat="false" ht="21" hidden="false" customHeight="true" outlineLevel="0" collapsed="false">
      <c r="B15" s="50"/>
      <c r="C15" s="51" t="s">
        <v>72</v>
      </c>
      <c r="D15" s="52" t="s">
        <v>271</v>
      </c>
      <c r="E15" s="53"/>
    </row>
    <row r="16" customFormat="false" ht="21" hidden="false" customHeight="true" outlineLevel="0" collapsed="false">
      <c r="B16" s="50" t="s">
        <v>272</v>
      </c>
      <c r="C16" s="54" t="s">
        <v>72</v>
      </c>
      <c r="D16" s="55" t="s">
        <v>273</v>
      </c>
      <c r="E16" s="53" t="str">
        <f aca="false">COUNTIF(C16:C18,"✔")&amp;" / 3"</f>
        <v>2 / 3</v>
      </c>
    </row>
    <row r="17" customFormat="false" ht="21" hidden="false" customHeight="true" outlineLevel="0" collapsed="false">
      <c r="B17" s="50"/>
      <c r="C17" s="51" t="s">
        <v>72</v>
      </c>
      <c r="D17" s="52" t="s">
        <v>274</v>
      </c>
      <c r="E17" s="53"/>
    </row>
    <row r="18" customFormat="false" ht="21" hidden="false" customHeight="true" outlineLevel="0" collapsed="false">
      <c r="B18" s="50"/>
      <c r="C18" s="54"/>
      <c r="D18" s="55" t="s">
        <v>275</v>
      </c>
      <c r="E18" s="53"/>
    </row>
    <row r="19" customFormat="false" ht="21" hidden="false" customHeight="true" outlineLevel="0" collapsed="false">
      <c r="B19" s="50" t="s">
        <v>276</v>
      </c>
      <c r="C19" s="51"/>
      <c r="D19" s="52" t="s">
        <v>277</v>
      </c>
      <c r="E19" s="53" t="str">
        <f aca="false">COUNTIF(C19:C21,"✔")&amp;" / 3"</f>
        <v>0 / 3</v>
      </c>
    </row>
    <row r="20" customFormat="false" ht="21" hidden="false" customHeight="true" outlineLevel="0" collapsed="false">
      <c r="B20" s="50"/>
      <c r="C20" s="54"/>
      <c r="D20" s="55" t="s">
        <v>278</v>
      </c>
      <c r="E20" s="53"/>
    </row>
    <row r="21" customFormat="false" ht="21" hidden="false" customHeight="true" outlineLevel="0" collapsed="false">
      <c r="B21" s="50"/>
      <c r="C21" s="51"/>
      <c r="D21" s="52" t="s">
        <v>279</v>
      </c>
      <c r="E21" s="53"/>
    </row>
    <row r="22" customFormat="false" ht="21" hidden="false" customHeight="true" outlineLevel="0" collapsed="false">
      <c r="B22" s="50" t="s">
        <v>280</v>
      </c>
      <c r="C22" s="54"/>
      <c r="D22" s="55" t="s">
        <v>281</v>
      </c>
      <c r="E22" s="53" t="str">
        <f aca="false">COUNTIF(C22:C23,"✔")&amp;" / 2"</f>
        <v>0 / 2</v>
      </c>
    </row>
    <row r="23" customFormat="false" ht="21" hidden="false" customHeight="true" outlineLevel="0" collapsed="false">
      <c r="B23" s="50"/>
      <c r="C23" s="51"/>
      <c r="D23" s="52" t="s">
        <v>282</v>
      </c>
      <c r="E23" s="53"/>
    </row>
  </sheetData>
  <mergeCells count="12">
    <mergeCell ref="B2:D2"/>
    <mergeCell ref="B3:E3"/>
    <mergeCell ref="B7:B11"/>
    <mergeCell ref="E7:E11"/>
    <mergeCell ref="B12:B15"/>
    <mergeCell ref="E12:E15"/>
    <mergeCell ref="B16:B18"/>
    <mergeCell ref="E16:E18"/>
    <mergeCell ref="B19:B21"/>
    <mergeCell ref="E19:E21"/>
    <mergeCell ref="B22:B23"/>
    <mergeCell ref="E22:E23"/>
  </mergeCells>
  <conditionalFormatting sqref="E7:E11">
    <cfRule type="expression" priority="2" aboveAverage="0" equalAverage="0" bottom="0" percent="0" rank="0" text="" dxfId="3">
      <formula>COUNTIF($C$7:$C$11,"✔")=5</formula>
    </cfRule>
  </conditionalFormatting>
  <conditionalFormatting sqref="E12:E15">
    <cfRule type="expression" priority="3" aboveAverage="0" equalAverage="0" bottom="0" percent="0" rank="0" text="" dxfId="3">
      <formula>COUNTIF($C$12:$C$15,"✔")=4</formula>
    </cfRule>
  </conditionalFormatting>
  <conditionalFormatting sqref="E16:E18">
    <cfRule type="expression" priority="4" aboveAverage="0" equalAverage="0" bottom="0" percent="0" rank="0" text="" dxfId="3">
      <formula>COUNTIF($C$16:$C$18,"✔")=3</formula>
    </cfRule>
  </conditionalFormatting>
  <conditionalFormatting sqref="E19:E21">
    <cfRule type="expression" priority="5" aboveAverage="0" equalAverage="0" bottom="0" percent="0" rank="0" text="" dxfId="3">
      <formula>COUNTIF($C$19:$C$21,"✔")=3</formula>
    </cfRule>
  </conditionalFormatting>
  <conditionalFormatting sqref="E22:E23">
    <cfRule type="expression" priority="6" aboveAverage="0" equalAverage="0" bottom="0" percent="0" rank="0" text="" dxfId="3">
      <formula>COUNTIF($C$22:$C$23,"✔")=2</formula>
    </cfRule>
  </conditionalFormatting>
  <conditionalFormatting sqref="C7:C23">
    <cfRule type="expression" priority="7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23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5E9C"/>
    <pageSetUpPr fitToPage="true"/>
  </sheetPr>
  <dimension ref="B1:M2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6"/>
    <col collapsed="false" customWidth="true" hidden="false" outlineLevel="0" max="4" min="4" style="1" width="95"/>
    <col collapsed="false" customWidth="true" hidden="false" outlineLevel="0" max="5" min="5" style="1" width="16"/>
    <col collapsed="false" customWidth="true" hidden="true" outlineLevel="0" max="13" min="7" style="1" width="13"/>
  </cols>
  <sheetData>
    <row r="1" customFormat="false" ht="15" hidden="false" customHeight="true" outlineLevel="0" collapsed="false">
      <c r="B1" s="31" t="s">
        <v>66</v>
      </c>
      <c r="M1" s="1" t="n">
        <f aca="false">SUM(H7:H12)</f>
        <v>7</v>
      </c>
    </row>
    <row r="2" customFormat="false" ht="39.75" hidden="false" customHeight="true" outlineLevel="0" collapsed="false">
      <c r="B2" s="32" t="s">
        <v>44</v>
      </c>
      <c r="C2" s="32"/>
      <c r="D2" s="32"/>
      <c r="E2" s="43" t="s">
        <v>25</v>
      </c>
      <c r="M2" s="1" t="n">
        <f aca="false">SUM(I7:I12)</f>
        <v>17</v>
      </c>
    </row>
    <row r="3" customFormat="false" ht="31.5" hidden="false" customHeight="true" outlineLevel="0" collapsed="false">
      <c r="B3" s="44" t="s">
        <v>283</v>
      </c>
      <c r="C3" s="44"/>
      <c r="D3" s="44"/>
      <c r="E3" s="44"/>
      <c r="M3" s="1" t="n">
        <f aca="false">SUM(K7:K12)</f>
        <v>2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1" t="n">
        <f aca="false">SUM(J7:J12)</f>
        <v>2</v>
      </c>
    </row>
    <row r="5" customFormat="false" ht="25.5" hidden="false" customHeight="true" outlineLevel="0" collapsed="false">
      <c r="B5" s="46" t="str">
        <f aca="false">IF(M3=0,"Not started",INDEX(G7:G12,M3))</f>
        <v>Foundation Established</v>
      </c>
      <c r="C5" s="47" t="n">
        <f aca="false">IF(M2=0,0,M1/M2)</f>
        <v>0.411764705882353</v>
      </c>
      <c r="D5" s="46" t="str">
        <f aca="false">M4&amp;" / "&amp;6</f>
        <v>2 / 6</v>
      </c>
      <c r="E5" s="48" t="s">
        <v>225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50" t="s">
        <v>284</v>
      </c>
      <c r="C7" s="51" t="s">
        <v>72</v>
      </c>
      <c r="D7" s="52" t="s">
        <v>285</v>
      </c>
      <c r="E7" s="53" t="str">
        <f aca="false">COUNTIF(C7:C9,"✔")&amp;" / 3"</f>
        <v>3 / 3</v>
      </c>
      <c r="G7" s="1" t="s">
        <v>286</v>
      </c>
      <c r="H7" s="1" t="n">
        <f aca="false">COUNTIF(C7:C9,"✔")</f>
        <v>3</v>
      </c>
      <c r="I7" s="1" t="n">
        <v>3</v>
      </c>
      <c r="J7" s="1" t="n">
        <f aca="false">IF(H7=I7,1,0)</f>
        <v>1</v>
      </c>
      <c r="K7" s="1" t="n">
        <f aca="false">J7</f>
        <v>1</v>
      </c>
    </row>
    <row r="8" customFormat="false" ht="21" hidden="false" customHeight="true" outlineLevel="0" collapsed="false">
      <c r="B8" s="50"/>
      <c r="C8" s="54" t="s">
        <v>72</v>
      </c>
      <c r="D8" s="55" t="s">
        <v>287</v>
      </c>
      <c r="E8" s="53"/>
      <c r="G8" s="1" t="s">
        <v>288</v>
      </c>
      <c r="H8" s="1" t="n">
        <f aca="false">COUNTIF(C10:C12,"✔")</f>
        <v>3</v>
      </c>
      <c r="I8" s="1" t="n">
        <v>3</v>
      </c>
      <c r="J8" s="1" t="n">
        <f aca="false">IF(H8=I8,1,0)</f>
        <v>1</v>
      </c>
      <c r="K8" s="1" t="n">
        <f aca="false">J8*K7</f>
        <v>1</v>
      </c>
    </row>
    <row r="9" customFormat="false" ht="21" hidden="false" customHeight="true" outlineLevel="0" collapsed="false">
      <c r="B9" s="50"/>
      <c r="C9" s="51" t="s">
        <v>72</v>
      </c>
      <c r="D9" s="52" t="s">
        <v>289</v>
      </c>
      <c r="E9" s="53"/>
      <c r="G9" s="1" t="s">
        <v>290</v>
      </c>
      <c r="H9" s="1" t="n">
        <f aca="false">COUNTIF(C13:C15,"✔")</f>
        <v>1</v>
      </c>
      <c r="I9" s="1" t="n">
        <v>3</v>
      </c>
      <c r="J9" s="1" t="n">
        <f aca="false">IF(H9=I9,1,0)</f>
        <v>0</v>
      </c>
      <c r="K9" s="1" t="n">
        <f aca="false">J9*K8</f>
        <v>0</v>
      </c>
    </row>
    <row r="10" customFormat="false" ht="21" hidden="false" customHeight="true" outlineLevel="0" collapsed="false">
      <c r="B10" s="50" t="s">
        <v>291</v>
      </c>
      <c r="C10" s="54" t="s">
        <v>72</v>
      </c>
      <c r="D10" s="55" t="s">
        <v>292</v>
      </c>
      <c r="E10" s="53" t="str">
        <f aca="false">COUNTIF(C10:C12,"✔")&amp;" / 3"</f>
        <v>3 / 3</v>
      </c>
      <c r="G10" s="1" t="s">
        <v>293</v>
      </c>
      <c r="H10" s="1" t="n">
        <f aca="false">COUNTIF(C16:C18,"✔")</f>
        <v>0</v>
      </c>
      <c r="I10" s="1" t="n">
        <v>3</v>
      </c>
      <c r="J10" s="1" t="n">
        <f aca="false">IF(H10=I10,1,0)</f>
        <v>0</v>
      </c>
      <c r="K10" s="1" t="n">
        <f aca="false">J10*K9</f>
        <v>0</v>
      </c>
    </row>
    <row r="11" customFormat="false" ht="21" hidden="false" customHeight="true" outlineLevel="0" collapsed="false">
      <c r="B11" s="50"/>
      <c r="C11" s="51" t="s">
        <v>72</v>
      </c>
      <c r="D11" s="52" t="s">
        <v>294</v>
      </c>
      <c r="E11" s="53"/>
      <c r="G11" s="1" t="s">
        <v>45</v>
      </c>
      <c r="H11" s="1" t="n">
        <f aca="false">COUNTIF(C19:C21,"✔")</f>
        <v>0</v>
      </c>
      <c r="I11" s="1" t="n">
        <v>3</v>
      </c>
      <c r="J11" s="1" t="n">
        <f aca="false">IF(H11=I11,1,0)</f>
        <v>0</v>
      </c>
      <c r="K11" s="1" t="n">
        <f aca="false">J11*K10</f>
        <v>0</v>
      </c>
    </row>
    <row r="12" customFormat="false" ht="21" hidden="false" customHeight="true" outlineLevel="0" collapsed="false">
      <c r="B12" s="50"/>
      <c r="C12" s="54" t="s">
        <v>72</v>
      </c>
      <c r="D12" s="55" t="s">
        <v>295</v>
      </c>
      <c r="E12" s="53"/>
      <c r="G12" s="1" t="s">
        <v>193</v>
      </c>
      <c r="H12" s="1" t="n">
        <f aca="false">COUNTIF(C22:C23,"✔")</f>
        <v>0</v>
      </c>
      <c r="I12" s="1" t="n">
        <v>2</v>
      </c>
      <c r="J12" s="1" t="n">
        <f aca="false">IF(H12=I12,1,0)</f>
        <v>0</v>
      </c>
      <c r="K12" s="1" t="n">
        <f aca="false">J12*K11</f>
        <v>0</v>
      </c>
    </row>
    <row r="13" customFormat="false" ht="21" hidden="false" customHeight="true" outlineLevel="0" collapsed="false">
      <c r="B13" s="50" t="s">
        <v>296</v>
      </c>
      <c r="C13" s="51" t="s">
        <v>72</v>
      </c>
      <c r="D13" s="52" t="s">
        <v>297</v>
      </c>
      <c r="E13" s="53" t="str">
        <f aca="false">COUNTIF(C13:C15,"✔")&amp;" / 3"</f>
        <v>1 / 3</v>
      </c>
    </row>
    <row r="14" customFormat="false" ht="21" hidden="false" customHeight="true" outlineLevel="0" collapsed="false">
      <c r="B14" s="50"/>
      <c r="C14" s="54"/>
      <c r="D14" s="55" t="s">
        <v>298</v>
      </c>
      <c r="E14" s="53"/>
    </row>
    <row r="15" customFormat="false" ht="21" hidden="false" customHeight="true" outlineLevel="0" collapsed="false">
      <c r="B15" s="50"/>
      <c r="C15" s="51"/>
      <c r="D15" s="52" t="s">
        <v>299</v>
      </c>
      <c r="E15" s="53"/>
    </row>
    <row r="16" customFormat="false" ht="21" hidden="false" customHeight="true" outlineLevel="0" collapsed="false">
      <c r="B16" s="50" t="s">
        <v>300</v>
      </c>
      <c r="C16" s="54"/>
      <c r="D16" s="55" t="s">
        <v>301</v>
      </c>
      <c r="E16" s="53" t="str">
        <f aca="false">COUNTIF(C16:C18,"✔")&amp;" / 3"</f>
        <v>0 / 3</v>
      </c>
    </row>
    <row r="17" customFormat="false" ht="21" hidden="false" customHeight="true" outlineLevel="0" collapsed="false">
      <c r="B17" s="50"/>
      <c r="C17" s="51"/>
      <c r="D17" s="52" t="s">
        <v>302</v>
      </c>
      <c r="E17" s="53"/>
    </row>
    <row r="18" customFormat="false" ht="21" hidden="false" customHeight="true" outlineLevel="0" collapsed="false">
      <c r="B18" s="50"/>
      <c r="C18" s="54"/>
      <c r="D18" s="55" t="s">
        <v>303</v>
      </c>
      <c r="E18" s="53"/>
    </row>
    <row r="19" customFormat="false" ht="21" hidden="false" customHeight="true" outlineLevel="0" collapsed="false">
      <c r="B19" s="50" t="s">
        <v>304</v>
      </c>
      <c r="C19" s="51"/>
      <c r="D19" s="52" t="s">
        <v>305</v>
      </c>
      <c r="E19" s="53" t="str">
        <f aca="false">COUNTIF(C19:C21,"✔")&amp;" / 3"</f>
        <v>0 / 3</v>
      </c>
    </row>
    <row r="20" customFormat="false" ht="21" hidden="false" customHeight="true" outlineLevel="0" collapsed="false">
      <c r="B20" s="50"/>
      <c r="C20" s="54"/>
      <c r="D20" s="55" t="s">
        <v>306</v>
      </c>
      <c r="E20" s="53"/>
    </row>
    <row r="21" customFormat="false" ht="21" hidden="false" customHeight="true" outlineLevel="0" collapsed="false">
      <c r="B21" s="50"/>
      <c r="C21" s="51"/>
      <c r="D21" s="52" t="s">
        <v>307</v>
      </c>
      <c r="E21" s="53"/>
    </row>
    <row r="22" customFormat="false" ht="21" hidden="false" customHeight="true" outlineLevel="0" collapsed="false">
      <c r="B22" s="50" t="s">
        <v>219</v>
      </c>
      <c r="C22" s="54"/>
      <c r="D22" s="55" t="s">
        <v>308</v>
      </c>
      <c r="E22" s="53" t="str">
        <f aca="false">COUNTIF(C22:C23,"✔")&amp;" / 2"</f>
        <v>0 / 2</v>
      </c>
    </row>
    <row r="23" customFormat="false" ht="21" hidden="false" customHeight="true" outlineLevel="0" collapsed="false">
      <c r="B23" s="50"/>
      <c r="C23" s="51"/>
      <c r="D23" s="52" t="s">
        <v>309</v>
      </c>
      <c r="E23" s="53"/>
    </row>
  </sheetData>
  <mergeCells count="14">
    <mergeCell ref="B2:D2"/>
    <mergeCell ref="B3:E3"/>
    <mergeCell ref="B7:B9"/>
    <mergeCell ref="E7:E9"/>
    <mergeCell ref="B10:B12"/>
    <mergeCell ref="E10:E12"/>
    <mergeCell ref="B13:B15"/>
    <mergeCell ref="E13:E15"/>
    <mergeCell ref="B16:B18"/>
    <mergeCell ref="E16:E18"/>
    <mergeCell ref="B19:B21"/>
    <mergeCell ref="E19:E21"/>
    <mergeCell ref="B22:B23"/>
    <mergeCell ref="E22:E23"/>
  </mergeCells>
  <conditionalFormatting sqref="E7:E9">
    <cfRule type="expression" priority="2" aboveAverage="0" equalAverage="0" bottom="0" percent="0" rank="0" text="" dxfId="3">
      <formula>COUNTIF($C$7:$C$9,"✔")=3</formula>
    </cfRule>
  </conditionalFormatting>
  <conditionalFormatting sqref="E10:E12">
    <cfRule type="expression" priority="3" aboveAverage="0" equalAverage="0" bottom="0" percent="0" rank="0" text="" dxfId="3">
      <formula>COUNTIF($C$10:$C$12,"✔")=3</formula>
    </cfRule>
  </conditionalFormatting>
  <conditionalFormatting sqref="E13:E15">
    <cfRule type="expression" priority="4" aboveAverage="0" equalAverage="0" bottom="0" percent="0" rank="0" text="" dxfId="3">
      <formula>COUNTIF($C$13:$C$15,"✔")=3</formula>
    </cfRule>
  </conditionalFormatting>
  <conditionalFormatting sqref="E16:E18">
    <cfRule type="expression" priority="5" aboveAverage="0" equalAverage="0" bottom="0" percent="0" rank="0" text="" dxfId="3">
      <formula>COUNTIF($C$16:$C$18,"✔")=3</formula>
    </cfRule>
  </conditionalFormatting>
  <conditionalFormatting sqref="E19:E21">
    <cfRule type="expression" priority="6" aboveAverage="0" equalAverage="0" bottom="0" percent="0" rank="0" text="" dxfId="3">
      <formula>COUNTIF($C$19:$C$21,"✔")=3</formula>
    </cfRule>
  </conditionalFormatting>
  <conditionalFormatting sqref="E22:E23">
    <cfRule type="expression" priority="7" aboveAverage="0" equalAverage="0" bottom="0" percent="0" rank="0" text="" dxfId="3">
      <formula>COUNTIF($C$22:$C$23,"✔")=2</formula>
    </cfRule>
  </conditionalFormatting>
  <conditionalFormatting sqref="C7:C23">
    <cfRule type="expression" priority="8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23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7D12"/>
    <pageSetUpPr fitToPage="true"/>
  </sheetPr>
  <dimension ref="B1:M1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6"/>
    <col collapsed="false" customWidth="true" hidden="false" outlineLevel="0" max="4" min="4" style="1" width="95"/>
    <col collapsed="false" customWidth="true" hidden="false" outlineLevel="0" max="5" min="5" style="1" width="16"/>
    <col collapsed="false" customWidth="true" hidden="true" outlineLevel="0" max="13" min="7" style="1" width="13"/>
  </cols>
  <sheetData>
    <row r="1" customFormat="false" ht="15" hidden="false" customHeight="true" outlineLevel="0" collapsed="false">
      <c r="B1" s="56" t="s">
        <v>66</v>
      </c>
      <c r="M1" s="1" t="n">
        <f aca="false">SUM(H7:H11)</f>
        <v>7</v>
      </c>
    </row>
    <row r="2" customFormat="false" ht="39.75" hidden="false" customHeight="true" outlineLevel="0" collapsed="false">
      <c r="B2" s="57" t="s">
        <v>30</v>
      </c>
      <c r="C2" s="57"/>
      <c r="D2" s="57"/>
      <c r="E2" s="43" t="s">
        <v>25</v>
      </c>
      <c r="M2" s="1" t="n">
        <f aca="false">SUM(I7:I11)</f>
        <v>10</v>
      </c>
    </row>
    <row r="3" customFormat="false" ht="31.5" hidden="false" customHeight="true" outlineLevel="0" collapsed="false">
      <c r="B3" s="44" t="s">
        <v>310</v>
      </c>
      <c r="C3" s="44"/>
      <c r="D3" s="44"/>
      <c r="E3" s="44"/>
      <c r="M3" s="1" t="n">
        <f aca="false">SUM(K7:K11)</f>
        <v>3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1" t="n">
        <f aca="false">SUM(J7:J11)</f>
        <v>3</v>
      </c>
    </row>
    <row r="5" customFormat="false" ht="25.5" hidden="false" customHeight="true" outlineLevel="0" collapsed="false">
      <c r="B5" s="58" t="str">
        <f aca="false">IF(M3=0,"Not started",INDEX(G7:G11,M3))</f>
        <v>Quantified</v>
      </c>
      <c r="C5" s="59" t="n">
        <f aca="false">IF(M2=0,0,M1/M2)</f>
        <v>0.7</v>
      </c>
      <c r="D5" s="58" t="str">
        <f aca="false">M4&amp;" / "&amp;5</f>
        <v>3 / 5</v>
      </c>
      <c r="E5" s="60" t="s">
        <v>311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61" t="s">
        <v>75</v>
      </c>
      <c r="C7" s="51" t="s">
        <v>72</v>
      </c>
      <c r="D7" s="52" t="s">
        <v>312</v>
      </c>
      <c r="E7" s="53" t="str">
        <f aca="false">COUNTIF(C7:C8,"✔")&amp;" / 2"</f>
        <v>2 / 2</v>
      </c>
      <c r="G7" s="1" t="s">
        <v>77</v>
      </c>
      <c r="H7" s="1" t="n">
        <f aca="false">COUNTIF(C7:C8,"✔")</f>
        <v>2</v>
      </c>
      <c r="I7" s="1" t="n">
        <v>2</v>
      </c>
      <c r="J7" s="1" t="n">
        <f aca="false">IF(H7=I7,1,0)</f>
        <v>1</v>
      </c>
      <c r="K7" s="1" t="n">
        <f aca="false">J7</f>
        <v>1</v>
      </c>
    </row>
    <row r="8" customFormat="false" ht="21" hidden="false" customHeight="true" outlineLevel="0" collapsed="false">
      <c r="B8" s="61"/>
      <c r="C8" s="54" t="s">
        <v>72</v>
      </c>
      <c r="D8" s="55" t="s">
        <v>313</v>
      </c>
      <c r="E8" s="53"/>
      <c r="G8" s="1" t="s">
        <v>314</v>
      </c>
      <c r="H8" s="1" t="n">
        <f aca="false">COUNTIF(C9:C10,"✔")</f>
        <v>2</v>
      </c>
      <c r="I8" s="1" t="n">
        <v>2</v>
      </c>
      <c r="J8" s="1" t="n">
        <f aca="false">IF(H8=I8,1,0)</f>
        <v>1</v>
      </c>
      <c r="K8" s="1" t="n">
        <f aca="false">J8*K7</f>
        <v>1</v>
      </c>
    </row>
    <row r="9" customFormat="false" ht="21" hidden="false" customHeight="true" outlineLevel="0" collapsed="false">
      <c r="B9" s="61" t="s">
        <v>315</v>
      </c>
      <c r="C9" s="51" t="s">
        <v>72</v>
      </c>
      <c r="D9" s="52" t="s">
        <v>316</v>
      </c>
      <c r="E9" s="53" t="str">
        <f aca="false">COUNTIF(C9:C10,"✔")&amp;" / 2"</f>
        <v>2 / 2</v>
      </c>
      <c r="G9" s="1" t="s">
        <v>317</v>
      </c>
      <c r="H9" s="1" t="n">
        <f aca="false">COUNTIF(C11:C12,"✔")</f>
        <v>2</v>
      </c>
      <c r="I9" s="1" t="n">
        <v>2</v>
      </c>
      <c r="J9" s="1" t="n">
        <f aca="false">IF(H9=I9,1,0)</f>
        <v>1</v>
      </c>
      <c r="K9" s="1" t="n">
        <f aca="false">J9*K8</f>
        <v>1</v>
      </c>
    </row>
    <row r="10" customFormat="false" ht="21" hidden="false" customHeight="true" outlineLevel="0" collapsed="false">
      <c r="B10" s="61"/>
      <c r="C10" s="54" t="s">
        <v>72</v>
      </c>
      <c r="D10" s="55" t="s">
        <v>318</v>
      </c>
      <c r="E10" s="53"/>
      <c r="G10" s="1" t="s">
        <v>86</v>
      </c>
      <c r="H10" s="1" t="n">
        <f aca="false">COUNTIF(C13:C14,"✔")</f>
        <v>1</v>
      </c>
      <c r="I10" s="1" t="n">
        <v>2</v>
      </c>
      <c r="J10" s="1" t="n">
        <f aca="false">IF(H10=I10,1,0)</f>
        <v>0</v>
      </c>
      <c r="K10" s="1" t="n">
        <f aca="false">J10*K9</f>
        <v>0</v>
      </c>
    </row>
    <row r="11" customFormat="false" ht="21" hidden="false" customHeight="true" outlineLevel="0" collapsed="false">
      <c r="B11" s="61" t="s">
        <v>319</v>
      </c>
      <c r="C11" s="51" t="s">
        <v>72</v>
      </c>
      <c r="D11" s="52" t="s">
        <v>320</v>
      </c>
      <c r="E11" s="53" t="str">
        <f aca="false">COUNTIF(C11:C12,"✔")&amp;" / 2"</f>
        <v>2 / 2</v>
      </c>
      <c r="G11" s="1" t="s">
        <v>32</v>
      </c>
      <c r="H11" s="1" t="n">
        <f aca="false">COUNTIF(C15:C16,"✔")</f>
        <v>0</v>
      </c>
      <c r="I11" s="1" t="n">
        <v>2</v>
      </c>
      <c r="J11" s="1" t="n">
        <f aca="false">IF(H11=I11,1,0)</f>
        <v>0</v>
      </c>
      <c r="K11" s="1" t="n">
        <f aca="false">J11*K10</f>
        <v>0</v>
      </c>
    </row>
    <row r="12" customFormat="false" ht="21" hidden="false" customHeight="true" outlineLevel="0" collapsed="false">
      <c r="B12" s="61"/>
      <c r="C12" s="54" t="s">
        <v>72</v>
      </c>
      <c r="D12" s="55" t="s">
        <v>321</v>
      </c>
      <c r="E12" s="53"/>
    </row>
    <row r="13" customFormat="false" ht="21" hidden="false" customHeight="true" outlineLevel="0" collapsed="false">
      <c r="B13" s="61" t="s">
        <v>322</v>
      </c>
      <c r="C13" s="51" t="s">
        <v>72</v>
      </c>
      <c r="D13" s="52" t="s">
        <v>323</v>
      </c>
      <c r="E13" s="53" t="str">
        <f aca="false">COUNTIF(C13:C14,"✔")&amp;" / 2"</f>
        <v>1 / 2</v>
      </c>
    </row>
    <row r="14" customFormat="false" ht="21" hidden="false" customHeight="true" outlineLevel="0" collapsed="false">
      <c r="B14" s="61"/>
      <c r="C14" s="54"/>
      <c r="D14" s="55" t="s">
        <v>324</v>
      </c>
      <c r="E14" s="53"/>
    </row>
    <row r="15" customFormat="false" ht="21" hidden="false" customHeight="true" outlineLevel="0" collapsed="false">
      <c r="B15" s="61" t="s">
        <v>325</v>
      </c>
      <c r="C15" s="51"/>
      <c r="D15" s="52" t="s">
        <v>326</v>
      </c>
      <c r="E15" s="53" t="str">
        <f aca="false">COUNTIF(C15:C16,"✔")&amp;" / 2"</f>
        <v>0 / 2</v>
      </c>
    </row>
    <row r="16" customFormat="false" ht="21" hidden="false" customHeight="true" outlineLevel="0" collapsed="false">
      <c r="B16" s="61"/>
      <c r="C16" s="54"/>
      <c r="D16" s="55" t="s">
        <v>327</v>
      </c>
      <c r="E16" s="53"/>
    </row>
  </sheetData>
  <mergeCells count="12">
    <mergeCell ref="B2:D2"/>
    <mergeCell ref="B3:E3"/>
    <mergeCell ref="B7:B8"/>
    <mergeCell ref="E7:E8"/>
    <mergeCell ref="B9:B10"/>
    <mergeCell ref="E9:E10"/>
    <mergeCell ref="B11:B12"/>
    <mergeCell ref="E11:E12"/>
    <mergeCell ref="B13:B14"/>
    <mergeCell ref="E13:E14"/>
    <mergeCell ref="B15:B16"/>
    <mergeCell ref="E15:E16"/>
  </mergeCells>
  <conditionalFormatting sqref="E7:E8">
    <cfRule type="expression" priority="2" aboveAverage="0" equalAverage="0" bottom="0" percent="0" rank="0" text="" dxfId="3">
      <formula>COUNTIF($C$7:$C$8,"✔")=2</formula>
    </cfRule>
  </conditionalFormatting>
  <conditionalFormatting sqref="E9:E10">
    <cfRule type="expression" priority="3" aboveAverage="0" equalAverage="0" bottom="0" percent="0" rank="0" text="" dxfId="3">
      <formula>COUNTIF($C$9:$C$10,"✔")=2</formula>
    </cfRule>
  </conditionalFormatting>
  <conditionalFormatting sqref="E11:E12">
    <cfRule type="expression" priority="4" aboveAverage="0" equalAverage="0" bottom="0" percent="0" rank="0" text="" dxfId="3">
      <formula>COUNTIF($C$11:$C$12,"✔")=2</formula>
    </cfRule>
  </conditionalFormatting>
  <conditionalFormatting sqref="E13:E14">
    <cfRule type="expression" priority="5" aboveAverage="0" equalAverage="0" bottom="0" percent="0" rank="0" text="" dxfId="3">
      <formula>COUNTIF($C$13:$C$14,"✔")=2</formula>
    </cfRule>
  </conditionalFormatting>
  <conditionalFormatting sqref="E15:E16">
    <cfRule type="expression" priority="6" aboveAverage="0" equalAverage="0" bottom="0" percent="0" rank="0" text="" dxfId="3">
      <formula>COUNTIF($C$15:$C$16,"✔")=2</formula>
    </cfRule>
  </conditionalFormatting>
  <conditionalFormatting sqref="C7:C16">
    <cfRule type="expression" priority="7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16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7D12"/>
    <pageSetUpPr fitToPage="true"/>
  </sheetPr>
  <dimension ref="B1:M1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6"/>
    <col collapsed="false" customWidth="true" hidden="false" outlineLevel="0" max="4" min="4" style="1" width="95"/>
    <col collapsed="false" customWidth="true" hidden="false" outlineLevel="0" max="5" min="5" style="1" width="16"/>
    <col collapsed="false" customWidth="true" hidden="true" outlineLevel="0" max="13" min="7" style="1" width="13"/>
  </cols>
  <sheetData>
    <row r="1" customFormat="false" ht="15" hidden="false" customHeight="true" outlineLevel="0" collapsed="false">
      <c r="B1" s="56" t="s">
        <v>66</v>
      </c>
      <c r="M1" s="1" t="n">
        <f aca="false">SUM(H7:H12)</f>
        <v>7</v>
      </c>
    </row>
    <row r="2" customFormat="false" ht="39.75" hidden="false" customHeight="true" outlineLevel="0" collapsed="false">
      <c r="B2" s="57" t="s">
        <v>33</v>
      </c>
      <c r="C2" s="57"/>
      <c r="D2" s="57"/>
      <c r="E2" s="43" t="s">
        <v>25</v>
      </c>
      <c r="M2" s="1" t="n">
        <f aca="false">SUM(I7:I12)</f>
        <v>11</v>
      </c>
    </row>
    <row r="3" customFormat="false" ht="31.5" hidden="false" customHeight="true" outlineLevel="0" collapsed="false">
      <c r="B3" s="44" t="s">
        <v>328</v>
      </c>
      <c r="C3" s="44"/>
      <c r="D3" s="44"/>
      <c r="E3" s="44"/>
      <c r="M3" s="1" t="n">
        <f aca="false">SUM(K7:K12)</f>
        <v>3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1" t="n">
        <f aca="false">SUM(J7:J12)</f>
        <v>3</v>
      </c>
    </row>
    <row r="5" customFormat="false" ht="25.5" hidden="false" customHeight="true" outlineLevel="0" collapsed="false">
      <c r="B5" s="58" t="str">
        <f aca="false">IF(M3=0,"Not started",INDEX(G7:G12,M3))</f>
        <v>Demonstrated</v>
      </c>
      <c r="C5" s="59" t="n">
        <f aca="false">IF(M2=0,0,M1/M2)</f>
        <v>0.636363636363636</v>
      </c>
      <c r="D5" s="58" t="str">
        <f aca="false">M4&amp;" / "&amp;6</f>
        <v>3 / 6</v>
      </c>
      <c r="E5" s="60" t="s">
        <v>311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61" t="s">
        <v>329</v>
      </c>
      <c r="C7" s="51" t="s">
        <v>72</v>
      </c>
      <c r="D7" s="52" t="s">
        <v>330</v>
      </c>
      <c r="E7" s="53" t="str">
        <f aca="false">COUNTIF(C7:C8,"✔")&amp;" / 2"</f>
        <v>2 / 2</v>
      </c>
      <c r="G7" s="1" t="s">
        <v>331</v>
      </c>
      <c r="H7" s="1" t="n">
        <f aca="false">COUNTIF(C7:C8,"✔")</f>
        <v>2</v>
      </c>
      <c r="I7" s="1" t="n">
        <v>2</v>
      </c>
      <c r="J7" s="1" t="n">
        <f aca="false">IF(H7=I7,1,0)</f>
        <v>1</v>
      </c>
      <c r="K7" s="1" t="n">
        <f aca="false">J7</f>
        <v>1</v>
      </c>
    </row>
    <row r="8" customFormat="false" ht="21" hidden="false" customHeight="true" outlineLevel="0" collapsed="false">
      <c r="B8" s="61"/>
      <c r="C8" s="54" t="s">
        <v>72</v>
      </c>
      <c r="D8" s="55" t="s">
        <v>332</v>
      </c>
      <c r="E8" s="53"/>
      <c r="G8" s="1" t="s">
        <v>333</v>
      </c>
      <c r="H8" s="1" t="n">
        <f aca="false">COUNTIF(C9:C10,"✔")</f>
        <v>2</v>
      </c>
      <c r="I8" s="1" t="n">
        <v>2</v>
      </c>
      <c r="J8" s="1" t="n">
        <f aca="false">IF(H8=I8,1,0)</f>
        <v>1</v>
      </c>
      <c r="K8" s="1" t="n">
        <f aca="false">J8*K7</f>
        <v>1</v>
      </c>
    </row>
    <row r="9" customFormat="false" ht="21" hidden="false" customHeight="true" outlineLevel="0" collapsed="false">
      <c r="B9" s="61" t="s">
        <v>334</v>
      </c>
      <c r="C9" s="51" t="s">
        <v>72</v>
      </c>
      <c r="D9" s="52" t="s">
        <v>335</v>
      </c>
      <c r="E9" s="53" t="str">
        <f aca="false">COUNTIF(C9:C10,"✔")&amp;" / 2"</f>
        <v>2 / 2</v>
      </c>
      <c r="G9" s="1" t="s">
        <v>336</v>
      </c>
      <c r="H9" s="1" t="n">
        <f aca="false">COUNTIF(C11:C12,"✔")</f>
        <v>2</v>
      </c>
      <c r="I9" s="1" t="n">
        <v>2</v>
      </c>
      <c r="J9" s="1" t="n">
        <f aca="false">IF(H9=I9,1,0)</f>
        <v>1</v>
      </c>
      <c r="K9" s="1" t="n">
        <f aca="false">J9*K8</f>
        <v>1</v>
      </c>
    </row>
    <row r="10" customFormat="false" ht="21" hidden="false" customHeight="true" outlineLevel="0" collapsed="false">
      <c r="B10" s="61"/>
      <c r="C10" s="54" t="s">
        <v>72</v>
      </c>
      <c r="D10" s="55" t="s">
        <v>337</v>
      </c>
      <c r="E10" s="53"/>
      <c r="G10" s="1" t="s">
        <v>188</v>
      </c>
      <c r="H10" s="1" t="n">
        <f aca="false">COUNTIF(C13:C14,"✔")</f>
        <v>1</v>
      </c>
      <c r="I10" s="1" t="n">
        <v>2</v>
      </c>
      <c r="J10" s="1" t="n">
        <f aca="false">IF(H10=I10,1,0)</f>
        <v>0</v>
      </c>
      <c r="K10" s="1" t="n">
        <f aca="false">J10*K9</f>
        <v>0</v>
      </c>
    </row>
    <row r="11" customFormat="false" ht="21" hidden="false" customHeight="true" outlineLevel="0" collapsed="false">
      <c r="B11" s="61" t="s">
        <v>338</v>
      </c>
      <c r="C11" s="51" t="s">
        <v>72</v>
      </c>
      <c r="D11" s="52" t="s">
        <v>339</v>
      </c>
      <c r="E11" s="53" t="str">
        <f aca="false">COUNTIF(C11:C12,"✔")&amp;" / 2"</f>
        <v>2 / 2</v>
      </c>
      <c r="G11" s="1" t="s">
        <v>34</v>
      </c>
      <c r="H11" s="1" t="n">
        <f aca="false">COUNTIF(C15:C15,"✔")</f>
        <v>0</v>
      </c>
      <c r="I11" s="1" t="n">
        <v>1</v>
      </c>
      <c r="J11" s="1" t="n">
        <f aca="false">IF(H11=I11,1,0)</f>
        <v>0</v>
      </c>
      <c r="K11" s="1" t="n">
        <f aca="false">J11*K10</f>
        <v>0</v>
      </c>
    </row>
    <row r="12" customFormat="false" ht="21" hidden="false" customHeight="true" outlineLevel="0" collapsed="false">
      <c r="B12" s="61"/>
      <c r="C12" s="54" t="s">
        <v>72</v>
      </c>
      <c r="D12" s="55" t="s">
        <v>340</v>
      </c>
      <c r="E12" s="53"/>
      <c r="G12" s="1" t="s">
        <v>341</v>
      </c>
      <c r="H12" s="1" t="n">
        <f aca="false">COUNTIF(C16:C17,"✔")</f>
        <v>0</v>
      </c>
      <c r="I12" s="1" t="n">
        <v>2</v>
      </c>
      <c r="J12" s="1" t="n">
        <f aca="false">IF(H12=I12,1,0)</f>
        <v>0</v>
      </c>
      <c r="K12" s="1" t="n">
        <f aca="false">J12*K11</f>
        <v>0</v>
      </c>
    </row>
    <row r="13" customFormat="false" ht="21" hidden="false" customHeight="true" outlineLevel="0" collapsed="false">
      <c r="B13" s="61" t="s">
        <v>342</v>
      </c>
      <c r="C13" s="51" t="s">
        <v>72</v>
      </c>
      <c r="D13" s="52" t="s">
        <v>343</v>
      </c>
      <c r="E13" s="53" t="str">
        <f aca="false">COUNTIF(C13:C14,"✔")&amp;" / 2"</f>
        <v>1 / 2</v>
      </c>
    </row>
    <row r="14" customFormat="false" ht="21" hidden="false" customHeight="true" outlineLevel="0" collapsed="false">
      <c r="B14" s="61"/>
      <c r="C14" s="54"/>
      <c r="D14" s="55" t="s">
        <v>344</v>
      </c>
      <c r="E14" s="53"/>
    </row>
    <row r="15" customFormat="false" ht="21" hidden="false" customHeight="true" outlineLevel="0" collapsed="false">
      <c r="B15" s="61" t="s">
        <v>345</v>
      </c>
      <c r="C15" s="51"/>
      <c r="D15" s="52" t="s">
        <v>346</v>
      </c>
      <c r="E15" s="62" t="str">
        <f aca="false">COUNTIF(C15:C15,"✔")&amp;" / 1"</f>
        <v>0 / 1</v>
      </c>
    </row>
    <row r="16" customFormat="false" ht="21" hidden="false" customHeight="true" outlineLevel="0" collapsed="false">
      <c r="B16" s="61" t="s">
        <v>347</v>
      </c>
      <c r="C16" s="54"/>
      <c r="D16" s="55" t="s">
        <v>348</v>
      </c>
      <c r="E16" s="53" t="str">
        <f aca="false">COUNTIF(C16:C17,"✔")&amp;" / 2"</f>
        <v>0 / 2</v>
      </c>
    </row>
    <row r="17" customFormat="false" ht="21" hidden="false" customHeight="true" outlineLevel="0" collapsed="false">
      <c r="B17" s="61"/>
      <c r="C17" s="51"/>
      <c r="D17" s="52" t="s">
        <v>349</v>
      </c>
      <c r="E17" s="53"/>
    </row>
  </sheetData>
  <mergeCells count="12">
    <mergeCell ref="B2:D2"/>
    <mergeCell ref="B3:E3"/>
    <mergeCell ref="B7:B8"/>
    <mergeCell ref="E7:E8"/>
    <mergeCell ref="B9:B10"/>
    <mergeCell ref="E9:E10"/>
    <mergeCell ref="B11:B12"/>
    <mergeCell ref="E11:E12"/>
    <mergeCell ref="B13:B14"/>
    <mergeCell ref="E13:E14"/>
    <mergeCell ref="B16:B17"/>
    <mergeCell ref="E16:E17"/>
  </mergeCells>
  <conditionalFormatting sqref="E7:E8">
    <cfRule type="expression" priority="2" aboveAverage="0" equalAverage="0" bottom="0" percent="0" rank="0" text="" dxfId="3">
      <formula>COUNTIF($C$7:$C$8,"✔")=2</formula>
    </cfRule>
  </conditionalFormatting>
  <conditionalFormatting sqref="E9:E10">
    <cfRule type="expression" priority="3" aboveAverage="0" equalAverage="0" bottom="0" percent="0" rank="0" text="" dxfId="3">
      <formula>COUNTIF($C$9:$C$10,"✔")=2</formula>
    </cfRule>
  </conditionalFormatting>
  <conditionalFormatting sqref="E11:E12">
    <cfRule type="expression" priority="4" aboveAverage="0" equalAverage="0" bottom="0" percent="0" rank="0" text="" dxfId="3">
      <formula>COUNTIF($C$11:$C$12,"✔")=2</formula>
    </cfRule>
  </conditionalFormatting>
  <conditionalFormatting sqref="E13:E14">
    <cfRule type="expression" priority="5" aboveAverage="0" equalAverage="0" bottom="0" percent="0" rank="0" text="" dxfId="3">
      <formula>COUNTIF($C$13:$C$14,"✔")=2</formula>
    </cfRule>
  </conditionalFormatting>
  <conditionalFormatting sqref="E15">
    <cfRule type="expression" priority="6" aboveAverage="0" equalAverage="0" bottom="0" percent="0" rank="0" text="" dxfId="3">
      <formula>COUNTIF($C$15:$C$15,"✔")=1</formula>
    </cfRule>
  </conditionalFormatting>
  <conditionalFormatting sqref="E16:E17">
    <cfRule type="expression" priority="7" aboveAverage="0" equalAverage="0" bottom="0" percent="0" rank="0" text="" dxfId="3">
      <formula>COUNTIF($C$16:$C$17,"✔")=2</formula>
    </cfRule>
  </conditionalFormatting>
  <conditionalFormatting sqref="C7:C17">
    <cfRule type="expression" priority="8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17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7D12"/>
    <pageSetUpPr fitToPage="true"/>
  </sheetPr>
  <dimension ref="B1:M11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6"/>
    <col collapsed="false" customWidth="true" hidden="false" outlineLevel="0" max="4" min="4" style="1" width="95"/>
    <col collapsed="false" customWidth="true" hidden="false" outlineLevel="0" max="5" min="5" style="1" width="16"/>
    <col collapsed="false" customWidth="true" hidden="true" outlineLevel="0" max="13" min="7" style="1" width="13"/>
  </cols>
  <sheetData>
    <row r="1" customFormat="false" ht="15" hidden="false" customHeight="true" outlineLevel="0" collapsed="false">
      <c r="B1" s="56" t="s">
        <v>66</v>
      </c>
      <c r="M1" s="1" t="n">
        <f aca="false">SUM(H7:H11)</f>
        <v>4</v>
      </c>
    </row>
    <row r="2" customFormat="false" ht="39.75" hidden="false" customHeight="true" outlineLevel="0" collapsed="false">
      <c r="B2" s="57" t="s">
        <v>35</v>
      </c>
      <c r="C2" s="57"/>
      <c r="D2" s="57"/>
      <c r="E2" s="43" t="s">
        <v>25</v>
      </c>
      <c r="M2" s="1" t="n">
        <f aca="false">SUM(I7:I11)</f>
        <v>5</v>
      </c>
    </row>
    <row r="3" customFormat="false" ht="31.5" hidden="false" customHeight="true" outlineLevel="0" collapsed="false">
      <c r="B3" s="44" t="s">
        <v>350</v>
      </c>
      <c r="C3" s="44"/>
      <c r="D3" s="44"/>
      <c r="E3" s="44"/>
      <c r="M3" s="1" t="n">
        <f aca="false">SUM(K7:K11)</f>
        <v>4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1" t="n">
        <f aca="false">SUM(J7:J11)</f>
        <v>4</v>
      </c>
    </row>
    <row r="5" customFormat="false" ht="25.5" hidden="false" customHeight="true" outlineLevel="0" collapsed="false">
      <c r="B5" s="58" t="str">
        <f aca="false">IF(M3=0,"Not started",INDEX(G7:G11,M3))</f>
        <v>Communicated</v>
      </c>
      <c r="C5" s="59" t="n">
        <f aca="false">IF(M2=0,0,M1/M2)</f>
        <v>0.8</v>
      </c>
      <c r="D5" s="58" t="str">
        <f aca="false">M4&amp;" / "&amp;5</f>
        <v>4 / 5</v>
      </c>
      <c r="E5" s="60" t="s">
        <v>311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61" t="s">
        <v>351</v>
      </c>
      <c r="C7" s="51" t="s">
        <v>72</v>
      </c>
      <c r="D7" s="52" t="s">
        <v>352</v>
      </c>
      <c r="E7" s="62" t="str">
        <f aca="false">COUNTIF(C7:C7,"✔")&amp;" / 1"</f>
        <v>1 / 1</v>
      </c>
      <c r="G7" s="1" t="s">
        <v>353</v>
      </c>
      <c r="H7" s="1" t="n">
        <f aca="false">COUNTIF(C7:C7,"✔")</f>
        <v>1</v>
      </c>
      <c r="I7" s="1" t="n">
        <v>1</v>
      </c>
      <c r="J7" s="1" t="n">
        <f aca="false">IF(H7=I7,1,0)</f>
        <v>1</v>
      </c>
      <c r="K7" s="1" t="n">
        <f aca="false">J7</f>
        <v>1</v>
      </c>
    </row>
    <row r="8" customFormat="false" ht="21" hidden="false" customHeight="true" outlineLevel="0" collapsed="false">
      <c r="B8" s="61" t="s">
        <v>354</v>
      </c>
      <c r="C8" s="54" t="s">
        <v>72</v>
      </c>
      <c r="D8" s="55" t="s">
        <v>355</v>
      </c>
      <c r="E8" s="62" t="str">
        <f aca="false">COUNTIF(C8:C8,"✔")&amp;" / 1"</f>
        <v>1 / 1</v>
      </c>
      <c r="G8" s="1" t="s">
        <v>356</v>
      </c>
      <c r="H8" s="1" t="n">
        <f aca="false">COUNTIF(C8:C8,"✔")</f>
        <v>1</v>
      </c>
      <c r="I8" s="1" t="n">
        <v>1</v>
      </c>
      <c r="J8" s="1" t="n">
        <f aca="false">IF(H8=I8,1,0)</f>
        <v>1</v>
      </c>
      <c r="K8" s="1" t="n">
        <f aca="false">J8*K7</f>
        <v>1</v>
      </c>
    </row>
    <row r="9" customFormat="false" ht="21" hidden="false" customHeight="true" outlineLevel="0" collapsed="false">
      <c r="B9" s="61" t="s">
        <v>357</v>
      </c>
      <c r="C9" s="51" t="s">
        <v>72</v>
      </c>
      <c r="D9" s="52" t="s">
        <v>358</v>
      </c>
      <c r="E9" s="62" t="str">
        <f aca="false">COUNTIF(C9:C9,"✔")&amp;" / 1"</f>
        <v>1 / 1</v>
      </c>
      <c r="G9" s="1" t="s">
        <v>359</v>
      </c>
      <c r="H9" s="1" t="n">
        <f aca="false">COUNTIF(C9:C9,"✔")</f>
        <v>1</v>
      </c>
      <c r="I9" s="1" t="n">
        <v>1</v>
      </c>
      <c r="J9" s="1" t="n">
        <f aca="false">IF(H9=I9,1,0)</f>
        <v>1</v>
      </c>
      <c r="K9" s="1" t="n">
        <f aca="false">J9*K8</f>
        <v>1</v>
      </c>
    </row>
    <row r="10" customFormat="false" ht="21" hidden="false" customHeight="true" outlineLevel="0" collapsed="false">
      <c r="B10" s="61" t="s">
        <v>360</v>
      </c>
      <c r="C10" s="54" t="s">
        <v>72</v>
      </c>
      <c r="D10" s="55" t="s">
        <v>361</v>
      </c>
      <c r="E10" s="62" t="str">
        <f aca="false">COUNTIF(C10:C10,"✔")&amp;" / 1"</f>
        <v>1 / 1</v>
      </c>
      <c r="G10" s="1" t="s">
        <v>362</v>
      </c>
      <c r="H10" s="1" t="n">
        <f aca="false">COUNTIF(C10:C10,"✔")</f>
        <v>1</v>
      </c>
      <c r="I10" s="1" t="n">
        <v>1</v>
      </c>
      <c r="J10" s="1" t="n">
        <f aca="false">IF(H10=I10,1,0)</f>
        <v>1</v>
      </c>
      <c r="K10" s="1" t="n">
        <f aca="false">J10*K9</f>
        <v>1</v>
      </c>
    </row>
    <row r="11" customFormat="false" ht="21" hidden="false" customHeight="true" outlineLevel="0" collapsed="false">
      <c r="B11" s="61" t="s">
        <v>363</v>
      </c>
      <c r="C11" s="51"/>
      <c r="D11" s="52" t="s">
        <v>364</v>
      </c>
      <c r="E11" s="62" t="str">
        <f aca="false">COUNTIF(C11:C11,"✔")&amp;" / 1"</f>
        <v>0 / 1</v>
      </c>
      <c r="G11" s="1" t="s">
        <v>36</v>
      </c>
      <c r="H11" s="1" t="n">
        <f aca="false">COUNTIF(C11:C11,"✔")</f>
        <v>0</v>
      </c>
      <c r="I11" s="1" t="n">
        <v>1</v>
      </c>
      <c r="J11" s="1" t="n">
        <f aca="false">IF(H11=I11,1,0)</f>
        <v>0</v>
      </c>
      <c r="K11" s="1" t="n">
        <f aca="false">J11*K10</f>
        <v>0</v>
      </c>
    </row>
  </sheetData>
  <mergeCells count="2">
    <mergeCell ref="B2:D2"/>
    <mergeCell ref="B3:E3"/>
  </mergeCells>
  <conditionalFormatting sqref="E7">
    <cfRule type="expression" priority="2" aboveAverage="0" equalAverage="0" bottom="0" percent="0" rank="0" text="" dxfId="3">
      <formula>COUNTIF($C$7:$C$7,"✔")=1</formula>
    </cfRule>
  </conditionalFormatting>
  <conditionalFormatting sqref="E8">
    <cfRule type="expression" priority="3" aboveAverage="0" equalAverage="0" bottom="0" percent="0" rank="0" text="" dxfId="3">
      <formula>COUNTIF($C$8:$C$8,"✔")=1</formula>
    </cfRule>
  </conditionalFormatting>
  <conditionalFormatting sqref="E9">
    <cfRule type="expression" priority="4" aboveAverage="0" equalAverage="0" bottom="0" percent="0" rank="0" text="" dxfId="3">
      <formula>COUNTIF($C$9:$C$9,"✔")=1</formula>
    </cfRule>
  </conditionalFormatting>
  <conditionalFormatting sqref="E10">
    <cfRule type="expression" priority="5" aboveAverage="0" equalAverage="0" bottom="0" percent="0" rank="0" text="" dxfId="3">
      <formula>COUNTIF($C$10:$C$10,"✔")=1</formula>
    </cfRule>
  </conditionalFormatting>
  <conditionalFormatting sqref="E11">
    <cfRule type="expression" priority="6" aboveAverage="0" equalAverage="0" bottom="0" percent="0" rank="0" text="" dxfId="3">
      <formula>COUNTIF($C$11:$C$11,"✔")=1</formula>
    </cfRule>
  </conditionalFormatting>
  <conditionalFormatting sqref="C7:C11">
    <cfRule type="expression" priority="7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11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7D12"/>
    <pageSetUpPr fitToPage="true"/>
  </sheetPr>
  <dimension ref="B1:M1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6"/>
    <col collapsed="false" customWidth="true" hidden="false" outlineLevel="0" max="4" min="4" style="1" width="95"/>
    <col collapsed="false" customWidth="true" hidden="false" outlineLevel="0" max="5" min="5" style="1" width="16"/>
    <col collapsed="false" customWidth="true" hidden="true" outlineLevel="0" max="13" min="7" style="1" width="13"/>
  </cols>
  <sheetData>
    <row r="1" customFormat="false" ht="15" hidden="false" customHeight="true" outlineLevel="0" collapsed="false">
      <c r="B1" s="56" t="s">
        <v>66</v>
      </c>
      <c r="M1" s="1" t="n">
        <f aca="false">SUM(H7:H11)</f>
        <v>5</v>
      </c>
    </row>
    <row r="2" customFormat="false" ht="39.75" hidden="false" customHeight="true" outlineLevel="0" collapsed="false">
      <c r="B2" s="57" t="s">
        <v>37</v>
      </c>
      <c r="C2" s="57"/>
      <c r="D2" s="57"/>
      <c r="E2" s="63" t="s">
        <v>365</v>
      </c>
      <c r="M2" s="1" t="n">
        <f aca="false">SUM(I7:I11)</f>
        <v>10</v>
      </c>
    </row>
    <row r="3" customFormat="false" ht="31.5" hidden="false" customHeight="true" outlineLevel="0" collapsed="false">
      <c r="B3" s="44" t="s">
        <v>366</v>
      </c>
      <c r="C3" s="44"/>
      <c r="D3" s="44"/>
      <c r="E3" s="44"/>
      <c r="M3" s="1" t="n">
        <f aca="false">SUM(K7:K11)</f>
        <v>2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1" t="n">
        <f aca="false">SUM(J7:J11)</f>
        <v>2</v>
      </c>
    </row>
    <row r="5" customFormat="false" ht="25.5" hidden="false" customHeight="true" outlineLevel="0" collapsed="false">
      <c r="B5" s="58" t="str">
        <f aca="false">IF(M3=0,"Not started",INDEX(G7:G11,M3))</f>
        <v>Established</v>
      </c>
      <c r="C5" s="59" t="n">
        <f aca="false">IF(M2=0,0,M1/M2)</f>
        <v>0.5</v>
      </c>
      <c r="D5" s="58" t="str">
        <f aca="false">M4&amp;" / "&amp;5</f>
        <v>2 / 5</v>
      </c>
      <c r="E5" s="60" t="s">
        <v>311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61" t="s">
        <v>257</v>
      </c>
      <c r="C7" s="51" t="s">
        <v>72</v>
      </c>
      <c r="D7" s="52" t="s">
        <v>367</v>
      </c>
      <c r="E7" s="53" t="str">
        <f aca="false">COUNTIF(C7:C8,"✔")&amp;" / 2"</f>
        <v>2 / 2</v>
      </c>
      <c r="G7" s="1" t="s">
        <v>259</v>
      </c>
      <c r="H7" s="1" t="n">
        <f aca="false">COUNTIF(C7:C8,"✔")</f>
        <v>2</v>
      </c>
      <c r="I7" s="1" t="n">
        <v>2</v>
      </c>
      <c r="J7" s="1" t="n">
        <f aca="false">IF(H7=I7,1,0)</f>
        <v>1</v>
      </c>
      <c r="K7" s="1" t="n">
        <f aca="false">J7</f>
        <v>1</v>
      </c>
    </row>
    <row r="8" customFormat="false" ht="21" hidden="false" customHeight="true" outlineLevel="0" collapsed="false">
      <c r="B8" s="61"/>
      <c r="C8" s="54" t="s">
        <v>72</v>
      </c>
      <c r="D8" s="55" t="s">
        <v>368</v>
      </c>
      <c r="E8" s="53"/>
      <c r="G8" s="1" t="s">
        <v>34</v>
      </c>
      <c r="H8" s="1" t="n">
        <f aca="false">COUNTIF(C9:C10,"✔")</f>
        <v>2</v>
      </c>
      <c r="I8" s="1" t="n">
        <v>2</v>
      </c>
      <c r="J8" s="1" t="n">
        <f aca="false">IF(H8=I8,1,0)</f>
        <v>1</v>
      </c>
      <c r="K8" s="1" t="n">
        <f aca="false">J8*K7</f>
        <v>1</v>
      </c>
    </row>
    <row r="9" customFormat="false" ht="21" hidden="false" customHeight="true" outlineLevel="0" collapsed="false">
      <c r="B9" s="61" t="s">
        <v>369</v>
      </c>
      <c r="C9" s="51" t="s">
        <v>72</v>
      </c>
      <c r="D9" s="52" t="s">
        <v>370</v>
      </c>
      <c r="E9" s="53" t="str">
        <f aca="false">COUNTIF(C9:C10,"✔")&amp;" / 2"</f>
        <v>2 / 2</v>
      </c>
      <c r="G9" s="1" t="s">
        <v>371</v>
      </c>
      <c r="H9" s="1" t="n">
        <f aca="false">COUNTIF(C11:C12,"✔")</f>
        <v>1</v>
      </c>
      <c r="I9" s="1" t="n">
        <v>2</v>
      </c>
      <c r="J9" s="1" t="n">
        <f aca="false">IF(H9=I9,1,0)</f>
        <v>0</v>
      </c>
      <c r="K9" s="1" t="n">
        <f aca="false">J9*K8</f>
        <v>0</v>
      </c>
    </row>
    <row r="10" customFormat="false" ht="21" hidden="false" customHeight="true" outlineLevel="0" collapsed="false">
      <c r="B10" s="61"/>
      <c r="C10" s="54" t="s">
        <v>72</v>
      </c>
      <c r="D10" s="55" t="s">
        <v>372</v>
      </c>
      <c r="E10" s="53"/>
      <c r="G10" s="1" t="s">
        <v>38</v>
      </c>
      <c r="H10" s="1" t="n">
        <f aca="false">COUNTIF(C13:C14,"✔")</f>
        <v>0</v>
      </c>
      <c r="I10" s="1" t="n">
        <v>2</v>
      </c>
      <c r="J10" s="1" t="n">
        <f aca="false">IF(H10=I10,1,0)</f>
        <v>0</v>
      </c>
      <c r="K10" s="1" t="n">
        <f aca="false">J10*K9</f>
        <v>0</v>
      </c>
    </row>
    <row r="11" customFormat="false" ht="21" hidden="false" customHeight="true" outlineLevel="0" collapsed="false">
      <c r="B11" s="61" t="s">
        <v>373</v>
      </c>
      <c r="C11" s="51" t="s">
        <v>72</v>
      </c>
      <c r="D11" s="52" t="s">
        <v>374</v>
      </c>
      <c r="E11" s="53" t="str">
        <f aca="false">COUNTIF(C11:C12,"✔")&amp;" / 2"</f>
        <v>1 / 2</v>
      </c>
      <c r="G11" s="1" t="s">
        <v>341</v>
      </c>
      <c r="H11" s="1" t="n">
        <f aca="false">COUNTIF(C15:C16,"✔")</f>
        <v>0</v>
      </c>
      <c r="I11" s="1" t="n">
        <v>2</v>
      </c>
      <c r="J11" s="1" t="n">
        <f aca="false">IF(H11=I11,1,0)</f>
        <v>0</v>
      </c>
      <c r="K11" s="1" t="n">
        <f aca="false">J11*K10</f>
        <v>0</v>
      </c>
    </row>
    <row r="12" customFormat="false" ht="21" hidden="false" customHeight="true" outlineLevel="0" collapsed="false">
      <c r="B12" s="61"/>
      <c r="C12" s="54"/>
      <c r="D12" s="55" t="s">
        <v>375</v>
      </c>
      <c r="E12" s="53"/>
    </row>
    <row r="13" customFormat="false" ht="21" hidden="false" customHeight="true" outlineLevel="0" collapsed="false">
      <c r="B13" s="61" t="s">
        <v>376</v>
      </c>
      <c r="C13" s="51"/>
      <c r="D13" s="52" t="s">
        <v>377</v>
      </c>
      <c r="E13" s="53" t="str">
        <f aca="false">COUNTIF(C13:C14,"✔")&amp;" / 2"</f>
        <v>0 / 2</v>
      </c>
    </row>
    <row r="14" customFormat="false" ht="21" hidden="false" customHeight="true" outlineLevel="0" collapsed="false">
      <c r="B14" s="61"/>
      <c r="C14" s="54"/>
      <c r="D14" s="55" t="s">
        <v>378</v>
      </c>
      <c r="E14" s="53"/>
    </row>
    <row r="15" customFormat="false" ht="21" hidden="false" customHeight="true" outlineLevel="0" collapsed="false">
      <c r="B15" s="61" t="s">
        <v>379</v>
      </c>
      <c r="C15" s="51"/>
      <c r="D15" s="52" t="s">
        <v>380</v>
      </c>
      <c r="E15" s="53" t="str">
        <f aca="false">COUNTIF(C15:C16,"✔")&amp;" / 2"</f>
        <v>0 / 2</v>
      </c>
    </row>
    <row r="16" customFormat="false" ht="21" hidden="false" customHeight="true" outlineLevel="0" collapsed="false">
      <c r="B16" s="61"/>
      <c r="C16" s="54"/>
      <c r="D16" s="55" t="s">
        <v>381</v>
      </c>
      <c r="E16" s="53"/>
    </row>
  </sheetData>
  <mergeCells count="12">
    <mergeCell ref="B2:D2"/>
    <mergeCell ref="B3:E3"/>
    <mergeCell ref="B7:B8"/>
    <mergeCell ref="E7:E8"/>
    <mergeCell ref="B9:B10"/>
    <mergeCell ref="E9:E10"/>
    <mergeCell ref="B11:B12"/>
    <mergeCell ref="E11:E12"/>
    <mergeCell ref="B13:B14"/>
    <mergeCell ref="E13:E14"/>
    <mergeCell ref="B15:B16"/>
    <mergeCell ref="E15:E16"/>
  </mergeCells>
  <conditionalFormatting sqref="E7:E8">
    <cfRule type="expression" priority="2" aboveAverage="0" equalAverage="0" bottom="0" percent="0" rank="0" text="" dxfId="3">
      <formula>COUNTIF($C$7:$C$8,"✔")=2</formula>
    </cfRule>
  </conditionalFormatting>
  <conditionalFormatting sqref="E9:E10">
    <cfRule type="expression" priority="3" aboveAverage="0" equalAverage="0" bottom="0" percent="0" rank="0" text="" dxfId="3">
      <formula>COUNTIF($C$9:$C$10,"✔")=2</formula>
    </cfRule>
  </conditionalFormatting>
  <conditionalFormatting sqref="E11:E12">
    <cfRule type="expression" priority="4" aboveAverage="0" equalAverage="0" bottom="0" percent="0" rank="0" text="" dxfId="3">
      <formula>COUNTIF($C$11:$C$12,"✔")=2</formula>
    </cfRule>
  </conditionalFormatting>
  <conditionalFormatting sqref="E13:E14">
    <cfRule type="expression" priority="5" aboveAverage="0" equalAverage="0" bottom="0" percent="0" rank="0" text="" dxfId="3">
      <formula>COUNTIF($C$13:$C$14,"✔")=2</formula>
    </cfRule>
  </conditionalFormatting>
  <conditionalFormatting sqref="E15:E16">
    <cfRule type="expression" priority="6" aboveAverage="0" equalAverage="0" bottom="0" percent="0" rank="0" text="" dxfId="3">
      <formula>COUNTIF($C$15:$C$16,"✔")=2</formula>
    </cfRule>
  </conditionalFormatting>
  <conditionalFormatting sqref="C7:C16">
    <cfRule type="expression" priority="7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16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5E9C"/>
    <pageSetUpPr fitToPage="true"/>
  </sheetPr>
  <dimension ref="B1:M1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6"/>
    <col collapsed="false" customWidth="true" hidden="false" outlineLevel="0" max="4" min="4" style="1" width="95"/>
    <col collapsed="false" customWidth="true" hidden="false" outlineLevel="0" max="5" min="5" style="1" width="16"/>
    <col collapsed="false" customWidth="true" hidden="true" outlineLevel="0" max="13" min="7" style="1" width="13"/>
  </cols>
  <sheetData>
    <row r="1" customFormat="false" ht="15" hidden="false" customHeight="true" outlineLevel="0" collapsed="false">
      <c r="B1" s="64" t="s">
        <v>66</v>
      </c>
      <c r="M1" s="1" t="n">
        <f aca="false">SUM(H7:H11)</f>
        <v>7</v>
      </c>
    </row>
    <row r="2" customFormat="false" ht="39.75" hidden="false" customHeight="true" outlineLevel="0" collapsed="false">
      <c r="B2" s="65" t="s">
        <v>46</v>
      </c>
      <c r="C2" s="65"/>
      <c r="D2" s="65"/>
      <c r="E2" s="66" t="s">
        <v>382</v>
      </c>
      <c r="M2" s="1" t="n">
        <f aca="false">SUM(I7:I11)</f>
        <v>10</v>
      </c>
    </row>
    <row r="3" customFormat="false" ht="31.5" hidden="false" customHeight="true" outlineLevel="0" collapsed="false">
      <c r="B3" s="44" t="s">
        <v>383</v>
      </c>
      <c r="C3" s="44"/>
      <c r="D3" s="44"/>
      <c r="E3" s="44"/>
      <c r="M3" s="1" t="n">
        <f aca="false">SUM(K7:K11)</f>
        <v>3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1" t="n">
        <f aca="false">SUM(J7:J11)</f>
        <v>3</v>
      </c>
    </row>
    <row r="5" customFormat="false" ht="25.5" hidden="false" customHeight="true" outlineLevel="0" collapsed="false">
      <c r="B5" s="67" t="str">
        <f aca="false">IF(M3=0,"Not started",INDEX(G7:G11,M3))</f>
        <v>Guiding</v>
      </c>
      <c r="C5" s="68" t="n">
        <f aca="false">IF(M2=0,0,M1/M2)</f>
        <v>0.7</v>
      </c>
      <c r="D5" s="67" t="str">
        <f aca="false">M4&amp;" / "&amp;5</f>
        <v>3 / 5</v>
      </c>
      <c r="E5" s="69" t="s">
        <v>384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70" t="s">
        <v>226</v>
      </c>
      <c r="C7" s="51" t="s">
        <v>72</v>
      </c>
      <c r="D7" s="52" t="s">
        <v>385</v>
      </c>
      <c r="E7" s="53" t="str">
        <f aca="false">COUNTIF(C7:C8,"✔")&amp;" / 2"</f>
        <v>2 / 2</v>
      </c>
      <c r="G7" s="1" t="s">
        <v>228</v>
      </c>
      <c r="H7" s="1" t="n">
        <f aca="false">COUNTIF(C7:C8,"✔")</f>
        <v>2</v>
      </c>
      <c r="I7" s="1" t="n">
        <v>2</v>
      </c>
      <c r="J7" s="1" t="n">
        <f aca="false">IF(H7=I7,1,0)</f>
        <v>1</v>
      </c>
      <c r="K7" s="1" t="n">
        <f aca="false">J7</f>
        <v>1</v>
      </c>
    </row>
    <row r="8" customFormat="false" ht="21" hidden="false" customHeight="true" outlineLevel="0" collapsed="false">
      <c r="B8" s="70"/>
      <c r="C8" s="54" t="s">
        <v>72</v>
      </c>
      <c r="D8" s="55" t="s">
        <v>386</v>
      </c>
      <c r="E8" s="53"/>
      <c r="G8" s="1" t="s">
        <v>387</v>
      </c>
      <c r="H8" s="1" t="n">
        <f aca="false">COUNTIF(C9:C10,"✔")</f>
        <v>2</v>
      </c>
      <c r="I8" s="1" t="n">
        <v>2</v>
      </c>
      <c r="J8" s="1" t="n">
        <f aca="false">IF(H8=I8,1,0)</f>
        <v>1</v>
      </c>
      <c r="K8" s="1" t="n">
        <f aca="false">J8*K7</f>
        <v>1</v>
      </c>
    </row>
    <row r="9" customFormat="false" ht="21" hidden="false" customHeight="true" outlineLevel="0" collapsed="false">
      <c r="B9" s="70" t="s">
        <v>388</v>
      </c>
      <c r="C9" s="51" t="s">
        <v>72</v>
      </c>
      <c r="D9" s="52" t="s">
        <v>389</v>
      </c>
      <c r="E9" s="53" t="str">
        <f aca="false">COUNTIF(C9:C10,"✔")&amp;" / 2"</f>
        <v>2 / 2</v>
      </c>
      <c r="G9" s="1" t="s">
        <v>390</v>
      </c>
      <c r="H9" s="1" t="n">
        <f aca="false">COUNTIF(C11:C12,"✔")</f>
        <v>2</v>
      </c>
      <c r="I9" s="1" t="n">
        <v>2</v>
      </c>
      <c r="J9" s="1" t="n">
        <f aca="false">IF(H9=I9,1,0)</f>
        <v>1</v>
      </c>
      <c r="K9" s="1" t="n">
        <f aca="false">J9*K8</f>
        <v>1</v>
      </c>
    </row>
    <row r="10" customFormat="false" ht="21" hidden="false" customHeight="true" outlineLevel="0" collapsed="false">
      <c r="B10" s="70"/>
      <c r="C10" s="54" t="s">
        <v>72</v>
      </c>
      <c r="D10" s="55" t="s">
        <v>391</v>
      </c>
      <c r="E10" s="53"/>
      <c r="G10" s="1" t="s">
        <v>392</v>
      </c>
      <c r="H10" s="1" t="n">
        <f aca="false">COUNTIF(C13:C14,"✔")</f>
        <v>1</v>
      </c>
      <c r="I10" s="1" t="n">
        <v>2</v>
      </c>
      <c r="J10" s="1" t="n">
        <f aca="false">IF(H10=I10,1,0)</f>
        <v>0</v>
      </c>
      <c r="K10" s="1" t="n">
        <f aca="false">J10*K9</f>
        <v>0</v>
      </c>
    </row>
    <row r="11" customFormat="false" ht="21" hidden="false" customHeight="true" outlineLevel="0" collapsed="false">
      <c r="B11" s="70" t="s">
        <v>393</v>
      </c>
      <c r="C11" s="51" t="s">
        <v>72</v>
      </c>
      <c r="D11" s="52" t="s">
        <v>394</v>
      </c>
      <c r="E11" s="53" t="str">
        <f aca="false">COUNTIF(C11:C12,"✔")&amp;" / 2"</f>
        <v>2 / 2</v>
      </c>
      <c r="G11" s="1" t="s">
        <v>49</v>
      </c>
      <c r="H11" s="1" t="n">
        <f aca="false">COUNTIF(C15:C16,"✔")</f>
        <v>0</v>
      </c>
      <c r="I11" s="1" t="n">
        <v>2</v>
      </c>
      <c r="J11" s="1" t="n">
        <f aca="false">IF(H11=I11,1,0)</f>
        <v>0</v>
      </c>
      <c r="K11" s="1" t="n">
        <f aca="false">J11*K10</f>
        <v>0</v>
      </c>
    </row>
    <row r="12" customFormat="false" ht="21" hidden="false" customHeight="true" outlineLevel="0" collapsed="false">
      <c r="B12" s="70"/>
      <c r="C12" s="54" t="s">
        <v>72</v>
      </c>
      <c r="D12" s="55" t="s">
        <v>395</v>
      </c>
      <c r="E12" s="53"/>
    </row>
    <row r="13" customFormat="false" ht="21" hidden="false" customHeight="true" outlineLevel="0" collapsed="false">
      <c r="B13" s="70" t="s">
        <v>396</v>
      </c>
      <c r="C13" s="51" t="s">
        <v>72</v>
      </c>
      <c r="D13" s="52" t="s">
        <v>397</v>
      </c>
      <c r="E13" s="53" t="str">
        <f aca="false">COUNTIF(C13:C14,"✔")&amp;" / 2"</f>
        <v>1 / 2</v>
      </c>
    </row>
    <row r="14" customFormat="false" ht="21" hidden="false" customHeight="true" outlineLevel="0" collapsed="false">
      <c r="B14" s="70"/>
      <c r="C14" s="54"/>
      <c r="D14" s="55" t="s">
        <v>398</v>
      </c>
      <c r="E14" s="53"/>
    </row>
    <row r="15" customFormat="false" ht="21" hidden="false" customHeight="true" outlineLevel="0" collapsed="false">
      <c r="B15" s="70" t="s">
        <v>399</v>
      </c>
      <c r="C15" s="51"/>
      <c r="D15" s="52" t="s">
        <v>400</v>
      </c>
      <c r="E15" s="53" t="str">
        <f aca="false">COUNTIF(C15:C16,"✔")&amp;" / 2"</f>
        <v>0 / 2</v>
      </c>
    </row>
    <row r="16" customFormat="false" ht="21" hidden="false" customHeight="true" outlineLevel="0" collapsed="false">
      <c r="B16" s="70"/>
      <c r="C16" s="54"/>
      <c r="D16" s="55" t="s">
        <v>401</v>
      </c>
      <c r="E16" s="53"/>
    </row>
  </sheetData>
  <mergeCells count="12">
    <mergeCell ref="B2:D2"/>
    <mergeCell ref="B3:E3"/>
    <mergeCell ref="B7:B8"/>
    <mergeCell ref="E7:E8"/>
    <mergeCell ref="B9:B10"/>
    <mergeCell ref="E9:E10"/>
    <mergeCell ref="B11:B12"/>
    <mergeCell ref="E11:E12"/>
    <mergeCell ref="B13:B14"/>
    <mergeCell ref="E13:E14"/>
    <mergeCell ref="B15:B16"/>
    <mergeCell ref="E15:E16"/>
  </mergeCells>
  <conditionalFormatting sqref="E7:E8">
    <cfRule type="expression" priority="2" aboveAverage="0" equalAverage="0" bottom="0" percent="0" rank="0" text="" dxfId="3">
      <formula>COUNTIF($C$7:$C$8,"✔")=2</formula>
    </cfRule>
  </conditionalFormatting>
  <conditionalFormatting sqref="E9:E10">
    <cfRule type="expression" priority="3" aboveAverage="0" equalAverage="0" bottom="0" percent="0" rank="0" text="" dxfId="3">
      <formula>COUNTIF($C$9:$C$10,"✔")=2</formula>
    </cfRule>
  </conditionalFormatting>
  <conditionalFormatting sqref="E11:E12">
    <cfRule type="expression" priority="4" aboveAverage="0" equalAverage="0" bottom="0" percent="0" rank="0" text="" dxfId="3">
      <formula>COUNTIF($C$11:$C$12,"✔")=2</formula>
    </cfRule>
  </conditionalFormatting>
  <conditionalFormatting sqref="E13:E14">
    <cfRule type="expression" priority="5" aboveAverage="0" equalAverage="0" bottom="0" percent="0" rank="0" text="" dxfId="3">
      <formula>COUNTIF($C$13:$C$14,"✔")=2</formula>
    </cfRule>
  </conditionalFormatting>
  <conditionalFormatting sqref="E15:E16">
    <cfRule type="expression" priority="6" aboveAverage="0" equalAverage="0" bottom="0" percent="0" rank="0" text="" dxfId="3">
      <formula>COUNTIF($C$15:$C$16,"✔")=2</formula>
    </cfRule>
  </conditionalFormatting>
  <conditionalFormatting sqref="C7:C16">
    <cfRule type="expression" priority="7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16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52"/>
    <pageSetUpPr fitToPage="true"/>
  </sheetPr>
  <dimension ref="B1:M14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6"/>
    <col collapsed="false" customWidth="true" hidden="false" outlineLevel="0" max="4" min="4" style="1" width="95"/>
    <col collapsed="false" customWidth="true" hidden="false" outlineLevel="0" max="5" min="5" style="1" width="16"/>
    <col collapsed="false" customWidth="true" hidden="true" outlineLevel="0" max="13" min="7" style="1" width="13"/>
  </cols>
  <sheetData>
    <row r="1" customFormat="false" ht="15" hidden="false" customHeight="true" outlineLevel="0" collapsed="false">
      <c r="B1" s="71" t="s">
        <v>66</v>
      </c>
      <c r="M1" s="1" t="n">
        <f aca="false">SUM(H7:H10)</f>
        <v>8</v>
      </c>
    </row>
    <row r="2" customFormat="false" ht="39.75" hidden="false" customHeight="true" outlineLevel="0" collapsed="false">
      <c r="B2" s="72" t="s">
        <v>19</v>
      </c>
      <c r="C2" s="72"/>
      <c r="D2" s="72"/>
      <c r="E2" s="63" t="s">
        <v>365</v>
      </c>
      <c r="M2" s="1" t="n">
        <f aca="false">SUM(I7:I10)</f>
        <v>8</v>
      </c>
    </row>
    <row r="3" customFormat="false" ht="31.5" hidden="false" customHeight="true" outlineLevel="0" collapsed="false">
      <c r="B3" s="44" t="s">
        <v>402</v>
      </c>
      <c r="C3" s="44"/>
      <c r="D3" s="44"/>
      <c r="E3" s="44"/>
      <c r="M3" s="1" t="n">
        <f aca="false">SUM(K7:K10)</f>
        <v>4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1" t="n">
        <f aca="false">SUM(J7:J10)</f>
        <v>4</v>
      </c>
    </row>
    <row r="5" customFormat="false" ht="25.5" hidden="false" customHeight="true" outlineLevel="0" collapsed="false">
      <c r="B5" s="73" t="str">
        <f aca="false">IF(M3=0,"Not started",INDEX(G7:G10,M3))</f>
        <v>Released</v>
      </c>
      <c r="C5" s="74" t="n">
        <f aca="false">IF(M2=0,0,M1/M2)</f>
        <v>1</v>
      </c>
      <c r="D5" s="73" t="str">
        <f aca="false">M4&amp;" / "&amp;4</f>
        <v>4 / 4</v>
      </c>
      <c r="E5" s="75" t="s">
        <v>403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76" t="s">
        <v>404</v>
      </c>
      <c r="C7" s="51" t="s">
        <v>72</v>
      </c>
      <c r="D7" s="52" t="s">
        <v>405</v>
      </c>
      <c r="E7" s="53" t="str">
        <f aca="false">COUNTIF(C7:C8,"✔")&amp;" / 2"</f>
        <v>2 / 2</v>
      </c>
      <c r="G7" s="1" t="s">
        <v>406</v>
      </c>
      <c r="H7" s="1" t="n">
        <f aca="false">COUNTIF(C7:C8,"✔")</f>
        <v>2</v>
      </c>
      <c r="I7" s="1" t="n">
        <v>2</v>
      </c>
      <c r="J7" s="1" t="n">
        <f aca="false">IF(H7=I7,1,0)</f>
        <v>1</v>
      </c>
      <c r="K7" s="1" t="n">
        <f aca="false">J7</f>
        <v>1</v>
      </c>
    </row>
    <row r="8" customFormat="false" ht="21" hidden="false" customHeight="true" outlineLevel="0" collapsed="false">
      <c r="B8" s="76"/>
      <c r="C8" s="54" t="s">
        <v>72</v>
      </c>
      <c r="D8" s="55" t="s">
        <v>407</v>
      </c>
      <c r="E8" s="53"/>
      <c r="G8" s="1" t="s">
        <v>408</v>
      </c>
      <c r="H8" s="1" t="n">
        <f aca="false">COUNTIF(C9:C10,"✔")</f>
        <v>2</v>
      </c>
      <c r="I8" s="1" t="n">
        <v>2</v>
      </c>
      <c r="J8" s="1" t="n">
        <f aca="false">IF(H8=I8,1,0)</f>
        <v>1</v>
      </c>
      <c r="K8" s="1" t="n">
        <f aca="false">J8*K7</f>
        <v>1</v>
      </c>
    </row>
    <row r="9" customFormat="false" ht="21" hidden="false" customHeight="true" outlineLevel="0" collapsed="false">
      <c r="B9" s="76" t="s">
        <v>409</v>
      </c>
      <c r="C9" s="51" t="s">
        <v>72</v>
      </c>
      <c r="D9" s="52" t="s">
        <v>410</v>
      </c>
      <c r="E9" s="53" t="str">
        <f aca="false">COUNTIF(C9:C10,"✔")&amp;" / 2"</f>
        <v>2 / 2</v>
      </c>
      <c r="G9" s="1" t="s">
        <v>411</v>
      </c>
      <c r="H9" s="1" t="n">
        <f aca="false">COUNTIF(C11:C12,"✔")</f>
        <v>2</v>
      </c>
      <c r="I9" s="1" t="n">
        <v>2</v>
      </c>
      <c r="J9" s="1" t="n">
        <f aca="false">IF(H9=I9,1,0)</f>
        <v>1</v>
      </c>
      <c r="K9" s="1" t="n">
        <f aca="false">J9*K8</f>
        <v>1</v>
      </c>
    </row>
    <row r="10" customFormat="false" ht="21" hidden="false" customHeight="true" outlineLevel="0" collapsed="false">
      <c r="B10" s="76"/>
      <c r="C10" s="54" t="s">
        <v>72</v>
      </c>
      <c r="D10" s="55" t="s">
        <v>412</v>
      </c>
      <c r="E10" s="53"/>
      <c r="G10" s="1" t="s">
        <v>22</v>
      </c>
      <c r="H10" s="1" t="n">
        <f aca="false">COUNTIF(C13:C14,"✔")</f>
        <v>2</v>
      </c>
      <c r="I10" s="1" t="n">
        <v>2</v>
      </c>
      <c r="J10" s="1" t="n">
        <f aca="false">IF(H10=I10,1,0)</f>
        <v>1</v>
      </c>
      <c r="K10" s="1" t="n">
        <f aca="false">J10*K9</f>
        <v>1</v>
      </c>
    </row>
    <row r="11" customFormat="false" ht="21" hidden="false" customHeight="true" outlineLevel="0" collapsed="false">
      <c r="B11" s="76" t="s">
        <v>413</v>
      </c>
      <c r="C11" s="51" t="s">
        <v>72</v>
      </c>
      <c r="D11" s="52" t="s">
        <v>414</v>
      </c>
      <c r="E11" s="53" t="str">
        <f aca="false">COUNTIF(C11:C12,"✔")&amp;" / 2"</f>
        <v>2 / 2</v>
      </c>
    </row>
    <row r="12" customFormat="false" ht="21" hidden="false" customHeight="true" outlineLevel="0" collapsed="false">
      <c r="B12" s="76"/>
      <c r="C12" s="54" t="s">
        <v>72</v>
      </c>
      <c r="D12" s="55" t="s">
        <v>415</v>
      </c>
      <c r="E12" s="53"/>
    </row>
    <row r="13" customFormat="false" ht="21" hidden="false" customHeight="true" outlineLevel="0" collapsed="false">
      <c r="B13" s="76" t="s">
        <v>416</v>
      </c>
      <c r="C13" s="51" t="s">
        <v>72</v>
      </c>
      <c r="D13" s="52" t="s">
        <v>417</v>
      </c>
      <c r="E13" s="53" t="str">
        <f aca="false">COUNTIF(C13:C14,"✔")&amp;" / 2"</f>
        <v>2 / 2</v>
      </c>
    </row>
    <row r="14" customFormat="false" ht="21" hidden="false" customHeight="true" outlineLevel="0" collapsed="false">
      <c r="B14" s="76"/>
      <c r="C14" s="54" t="s">
        <v>72</v>
      </c>
      <c r="D14" s="55" t="s">
        <v>418</v>
      </c>
      <c r="E14" s="53"/>
    </row>
  </sheetData>
  <mergeCells count="10">
    <mergeCell ref="B2:D2"/>
    <mergeCell ref="B3:E3"/>
    <mergeCell ref="B7:B8"/>
    <mergeCell ref="E7:E8"/>
    <mergeCell ref="B9:B10"/>
    <mergeCell ref="E9:E10"/>
    <mergeCell ref="B11:B12"/>
    <mergeCell ref="E11:E12"/>
    <mergeCell ref="B13:B14"/>
    <mergeCell ref="E13:E14"/>
  </mergeCells>
  <conditionalFormatting sqref="E7:E8">
    <cfRule type="expression" priority="2" aboveAverage="0" equalAverage="0" bottom="0" percent="0" rank="0" text="" dxfId="3">
      <formula>COUNTIF($C$7:$C$8,"✔")=2</formula>
    </cfRule>
  </conditionalFormatting>
  <conditionalFormatting sqref="E9:E10">
    <cfRule type="expression" priority="3" aboveAverage="0" equalAverage="0" bottom="0" percent="0" rank="0" text="" dxfId="3">
      <formula>COUNTIF($C$9:$C$10,"✔")=2</formula>
    </cfRule>
  </conditionalFormatting>
  <conditionalFormatting sqref="E11:E12">
    <cfRule type="expression" priority="4" aboveAverage="0" equalAverage="0" bottom="0" percent="0" rank="0" text="" dxfId="3">
      <formula>COUNTIF($C$11:$C$12,"✔")=2</formula>
    </cfRule>
  </conditionalFormatting>
  <conditionalFormatting sqref="E13:E14">
    <cfRule type="expression" priority="5" aboveAverage="0" equalAverage="0" bottom="0" percent="0" rank="0" text="" dxfId="3">
      <formula>COUNTIF($C$13:$C$14,"✔")=2</formula>
    </cfRule>
  </conditionalFormatting>
  <conditionalFormatting sqref="C7:C14">
    <cfRule type="expression" priority="6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14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52"/>
    <pageSetUpPr fitToPage="true"/>
  </sheetPr>
  <dimension ref="B1:M16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7"/>
    <col collapsed="false" customWidth="true" hidden="false" outlineLevel="0" max="3" min="3" style="1" width="6"/>
    <col collapsed="false" customWidth="true" hidden="false" outlineLevel="0" max="4" min="4" style="1" width="95"/>
    <col collapsed="false" customWidth="true" hidden="false" outlineLevel="0" max="5" min="5" style="1" width="16"/>
    <col collapsed="false" customWidth="true" hidden="true" outlineLevel="0" max="13" min="7" style="1" width="13"/>
  </cols>
  <sheetData>
    <row r="1" customFormat="false" ht="15" hidden="false" customHeight="true" outlineLevel="0" collapsed="false">
      <c r="B1" s="77" t="s">
        <v>66</v>
      </c>
      <c r="M1" s="1" t="n">
        <f aca="false">SUM(H7:H11)</f>
        <v>7</v>
      </c>
    </row>
    <row r="2" customFormat="false" ht="39.75" hidden="false" customHeight="true" outlineLevel="0" collapsed="false">
      <c r="B2" s="78" t="s">
        <v>23</v>
      </c>
      <c r="C2" s="78"/>
      <c r="D2" s="78"/>
      <c r="E2" s="43" t="s">
        <v>25</v>
      </c>
      <c r="M2" s="1" t="n">
        <f aca="false">SUM(I7:I11)</f>
        <v>10</v>
      </c>
    </row>
    <row r="3" customFormat="false" ht="31.5" hidden="false" customHeight="true" outlineLevel="0" collapsed="false">
      <c r="B3" s="44" t="s">
        <v>419</v>
      </c>
      <c r="C3" s="44"/>
      <c r="D3" s="44"/>
      <c r="E3" s="44"/>
      <c r="M3" s="1" t="n">
        <f aca="false">SUM(K7:K11)</f>
        <v>3</v>
      </c>
    </row>
    <row r="4" customFormat="false" ht="13.5" hidden="false" customHeight="true" outlineLevel="0" collapsed="false">
      <c r="B4" s="45" t="s">
        <v>8</v>
      </c>
      <c r="C4" s="45" t="s">
        <v>9</v>
      </c>
      <c r="D4" s="45" t="s">
        <v>68</v>
      </c>
      <c r="E4" s="45" t="s">
        <v>69</v>
      </c>
      <c r="M4" s="1" t="n">
        <f aca="false">SUM(J7:J11)</f>
        <v>3</v>
      </c>
    </row>
    <row r="5" customFormat="false" ht="25.5" hidden="false" customHeight="true" outlineLevel="0" collapsed="false">
      <c r="B5" s="79" t="str">
        <f aca="false">IF(M3=0,"Not started",INDEX(G7:G11,M3))</f>
        <v>Blueprinted</v>
      </c>
      <c r="C5" s="80" t="n">
        <f aca="false">IF(M2=0,0,M1/M2)</f>
        <v>0.7</v>
      </c>
      <c r="D5" s="79" t="str">
        <f aca="false">M4&amp;" / "&amp;5</f>
        <v>3 / 5</v>
      </c>
      <c r="E5" s="81" t="s">
        <v>420</v>
      </c>
    </row>
    <row r="6" customFormat="false" ht="19.5" hidden="false" customHeight="true" outlineLevel="0" collapsed="false">
      <c r="B6" s="10" t="s">
        <v>71</v>
      </c>
      <c r="C6" s="49" t="s">
        <v>72</v>
      </c>
      <c r="D6" s="10" t="s">
        <v>73</v>
      </c>
      <c r="E6" s="49" t="s">
        <v>74</v>
      </c>
    </row>
    <row r="7" customFormat="false" ht="21" hidden="false" customHeight="true" outlineLevel="0" collapsed="false">
      <c r="B7" s="82" t="s">
        <v>421</v>
      </c>
      <c r="C7" s="51" t="s">
        <v>72</v>
      </c>
      <c r="D7" s="52" t="s">
        <v>422</v>
      </c>
      <c r="E7" s="53" t="str">
        <f aca="false">COUNTIF(C7:C8,"✔")&amp;" / 2"</f>
        <v>2 / 2</v>
      </c>
      <c r="G7" s="1" t="s">
        <v>423</v>
      </c>
      <c r="H7" s="1" t="n">
        <f aca="false">COUNTIF(C7:C8,"✔")</f>
        <v>2</v>
      </c>
      <c r="I7" s="1" t="n">
        <v>2</v>
      </c>
      <c r="J7" s="1" t="n">
        <f aca="false">IF(H7=I7,1,0)</f>
        <v>1</v>
      </c>
      <c r="K7" s="1" t="n">
        <f aca="false">J7</f>
        <v>1</v>
      </c>
    </row>
    <row r="8" customFormat="false" ht="21" hidden="false" customHeight="true" outlineLevel="0" collapsed="false">
      <c r="B8" s="82"/>
      <c r="C8" s="54" t="s">
        <v>72</v>
      </c>
      <c r="D8" s="55" t="s">
        <v>407</v>
      </c>
      <c r="E8" s="53"/>
      <c r="G8" s="1" t="s">
        <v>424</v>
      </c>
      <c r="H8" s="1" t="n">
        <f aca="false">COUNTIF(C9:C10,"✔")</f>
        <v>2</v>
      </c>
      <c r="I8" s="1" t="n">
        <v>2</v>
      </c>
      <c r="J8" s="1" t="n">
        <f aca="false">IF(H8=I8,1,0)</f>
        <v>1</v>
      </c>
      <c r="K8" s="1" t="n">
        <f aca="false">J8*K7</f>
        <v>1</v>
      </c>
    </row>
    <row r="9" customFormat="false" ht="36" hidden="false" customHeight="true" outlineLevel="0" collapsed="false">
      <c r="B9" s="82" t="s">
        <v>425</v>
      </c>
      <c r="C9" s="51" t="s">
        <v>72</v>
      </c>
      <c r="D9" s="52" t="s">
        <v>426</v>
      </c>
      <c r="E9" s="53" t="str">
        <f aca="false">COUNTIF(C9:C10,"✔")&amp;" / 2"</f>
        <v>2 / 2</v>
      </c>
      <c r="G9" s="1" t="s">
        <v>427</v>
      </c>
      <c r="H9" s="1" t="n">
        <f aca="false">COUNTIF(C11:C12,"✔")</f>
        <v>2</v>
      </c>
      <c r="I9" s="1" t="n">
        <v>2</v>
      </c>
      <c r="J9" s="1" t="n">
        <f aca="false">IF(H9=I9,1,0)</f>
        <v>1</v>
      </c>
      <c r="K9" s="1" t="n">
        <f aca="false">J9*K8</f>
        <v>1</v>
      </c>
    </row>
    <row r="10" customFormat="false" ht="21" hidden="false" customHeight="true" outlineLevel="0" collapsed="false">
      <c r="B10" s="82"/>
      <c r="C10" s="54" t="s">
        <v>72</v>
      </c>
      <c r="D10" s="55" t="s">
        <v>428</v>
      </c>
      <c r="E10" s="53"/>
      <c r="G10" s="1" t="s">
        <v>36</v>
      </c>
      <c r="H10" s="1" t="n">
        <f aca="false">COUNTIF(C13:C14,"✔")</f>
        <v>1</v>
      </c>
      <c r="I10" s="1" t="n">
        <v>2</v>
      </c>
      <c r="J10" s="1" t="n">
        <f aca="false">IF(H10=I10,1,0)</f>
        <v>0</v>
      </c>
      <c r="K10" s="1" t="n">
        <f aca="false">J10*K9</f>
        <v>0</v>
      </c>
    </row>
    <row r="11" customFormat="false" ht="36" hidden="false" customHeight="true" outlineLevel="0" collapsed="false">
      <c r="B11" s="82" t="s">
        <v>429</v>
      </c>
      <c r="C11" s="51" t="s">
        <v>72</v>
      </c>
      <c r="D11" s="52" t="s">
        <v>430</v>
      </c>
      <c r="E11" s="53" t="str">
        <f aca="false">COUNTIF(C11:C12,"✔")&amp;" / 2"</f>
        <v>2 / 2</v>
      </c>
      <c r="G11" s="1" t="s">
        <v>24</v>
      </c>
      <c r="H11" s="1" t="n">
        <f aca="false">COUNTIF(C15:C16,"✔")</f>
        <v>0</v>
      </c>
      <c r="I11" s="1" t="n">
        <v>2</v>
      </c>
      <c r="J11" s="1" t="n">
        <f aca="false">IF(H11=I11,1,0)</f>
        <v>0</v>
      </c>
      <c r="K11" s="1" t="n">
        <f aca="false">J11*K10</f>
        <v>0</v>
      </c>
    </row>
    <row r="12" customFormat="false" ht="21" hidden="false" customHeight="true" outlineLevel="0" collapsed="false">
      <c r="B12" s="82"/>
      <c r="C12" s="54" t="s">
        <v>72</v>
      </c>
      <c r="D12" s="55" t="s">
        <v>431</v>
      </c>
      <c r="E12" s="53"/>
    </row>
    <row r="13" customFormat="false" ht="21" hidden="false" customHeight="true" outlineLevel="0" collapsed="false">
      <c r="B13" s="82" t="s">
        <v>432</v>
      </c>
      <c r="C13" s="51" t="s">
        <v>72</v>
      </c>
      <c r="D13" s="52" t="s">
        <v>433</v>
      </c>
      <c r="E13" s="53" t="str">
        <f aca="false">COUNTIF(C13:C14,"✔")&amp;" / 2"</f>
        <v>1 / 2</v>
      </c>
    </row>
    <row r="14" customFormat="false" ht="21" hidden="false" customHeight="true" outlineLevel="0" collapsed="false">
      <c r="B14" s="82"/>
      <c r="C14" s="54"/>
      <c r="D14" s="55" t="s">
        <v>434</v>
      </c>
      <c r="E14" s="53"/>
    </row>
    <row r="15" customFormat="false" ht="21" hidden="false" customHeight="true" outlineLevel="0" collapsed="false">
      <c r="B15" s="82" t="s">
        <v>435</v>
      </c>
      <c r="C15" s="51"/>
      <c r="D15" s="52" t="s">
        <v>436</v>
      </c>
      <c r="E15" s="53" t="str">
        <f aca="false">COUNTIF(C15:C16,"✔")&amp;" / 2"</f>
        <v>0 / 2</v>
      </c>
    </row>
    <row r="16" customFormat="false" ht="21" hidden="false" customHeight="true" outlineLevel="0" collapsed="false">
      <c r="B16" s="82"/>
      <c r="C16" s="54"/>
      <c r="D16" s="55" t="s">
        <v>437</v>
      </c>
      <c r="E16" s="53"/>
    </row>
  </sheetData>
  <mergeCells count="12">
    <mergeCell ref="B2:D2"/>
    <mergeCell ref="B3:E3"/>
    <mergeCell ref="B7:B8"/>
    <mergeCell ref="E7:E8"/>
    <mergeCell ref="B9:B10"/>
    <mergeCell ref="E9:E10"/>
    <mergeCell ref="B11:B12"/>
    <mergeCell ref="E11:E12"/>
    <mergeCell ref="B13:B14"/>
    <mergeCell ref="E13:E14"/>
    <mergeCell ref="B15:B16"/>
    <mergeCell ref="E15:E16"/>
  </mergeCells>
  <conditionalFormatting sqref="E7:E8">
    <cfRule type="expression" priority="2" aboveAverage="0" equalAverage="0" bottom="0" percent="0" rank="0" text="" dxfId="3">
      <formula>COUNTIF($C$7:$C$8,"✔")=2</formula>
    </cfRule>
  </conditionalFormatting>
  <conditionalFormatting sqref="E9:E10">
    <cfRule type="expression" priority="3" aboveAverage="0" equalAverage="0" bottom="0" percent="0" rank="0" text="" dxfId="3">
      <formula>COUNTIF($C$9:$C$10,"✔")=2</formula>
    </cfRule>
  </conditionalFormatting>
  <conditionalFormatting sqref="E11:E12">
    <cfRule type="expression" priority="4" aboveAverage="0" equalAverage="0" bottom="0" percent="0" rank="0" text="" dxfId="3">
      <formula>COUNTIF($C$11:$C$12,"✔")=2</formula>
    </cfRule>
  </conditionalFormatting>
  <conditionalFormatting sqref="E13:E14">
    <cfRule type="expression" priority="5" aboveAverage="0" equalAverage="0" bottom="0" percent="0" rank="0" text="" dxfId="3">
      <formula>COUNTIF($C$13:$C$14,"✔")=2</formula>
    </cfRule>
  </conditionalFormatting>
  <conditionalFormatting sqref="E15:E16">
    <cfRule type="expression" priority="6" aboveAverage="0" equalAverage="0" bottom="0" percent="0" rank="0" text="" dxfId="3">
      <formula>COUNTIF($C$15:$C$16,"✔")=2</formula>
    </cfRule>
  </conditionalFormatting>
  <conditionalFormatting sqref="C7:C16">
    <cfRule type="expression" priority="7" aboveAverage="0" equalAverage="0" bottom="0" percent="0" rank="0" text="" dxfId="4">
      <formula>C7="✔"</formula>
    </cfRule>
  </conditionalFormatting>
  <dataValidations count="1">
    <dataValidation allowBlank="true" errorStyle="stop" operator="between" showDropDown="false" showErrorMessage="false" showInputMessage="false" sqref="C7:C16" type="list">
      <formula1>"✔"</formula1>
      <formula2>0</formula2>
    </dataValidation>
  </dataValidations>
  <hyperlinks>
    <hyperlink ref="B1" location="Dashboard!A1" display="←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2026-05-27T15:52:49Z</dcterms:created>
  <dc:creator>openpyxl</dc:creator>
  <dc:description/>
  <dc:language>en-US</dc:language>
  <cp:lastModifiedBy/>
  <dcterms:modified xsi:type="dcterms:W3CDTF">2026-07-11T04:59:09Z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