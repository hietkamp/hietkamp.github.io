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4.xml" ContentType="application/vnd.openxmlformats-officedocument.spreadsheetml.worksheet+xml"/>
  <Override PartName="/xl/worksheets/sheet7.xml" ContentType="application/vnd.openxmlformats-officedocument.spreadsheetml.worksheet+xml"/>
  <Override PartName="/xl/worksheets/sheet3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2.xml" ContentType="application/vnd.openxmlformats-officedocument.spreadsheetml.worksheet+xml"/>
  <Override PartName="/xl/worksheets/sheet10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Dashboard" sheetId="1" state="visible" r:id="rId3"/>
    <sheet name="Opportunity" sheetId="2" state="visible" r:id="rId4"/>
    <sheet name="Stakeholders" sheetId="3" state="visible" r:id="rId5"/>
    <sheet name="Paved Road" sheetId="4" state="visible" r:id="rId6"/>
    <sheet name="Requirements" sheetId="5" state="visible" r:id="rId7"/>
    <sheet name="System" sheetId="6" state="visible" r:id="rId8"/>
    <sheet name="Work" sheetId="7" state="visible" r:id="rId9"/>
    <sheet name="Team" sheetId="8" state="visible" r:id="rId10"/>
    <sheet name="Way of Working" sheetId="9" state="visible" r:id="rId11"/>
    <sheet name="Governance" sheetId="10" state="visible" r:id="rId12"/>
  </sheets>
  <definedNames>
    <definedName function="false" hidden="false" localSheetId="0" name="_xlnm.Print_Titles" vbProcedure="false">Dashboard!$1:$8</definedName>
    <definedName function="false" hidden="false" localSheetId="9" name="_xlnm.Print_Titles" vbProcedure="false">Governance!$1:$6</definedName>
    <definedName function="false" hidden="false" localSheetId="1" name="_xlnm.Print_Titles" vbProcedure="false">Opportunity!$1:$6</definedName>
    <definedName function="false" hidden="false" localSheetId="3" name="_xlnm.Print_Titles" vbProcedure="false">'Paved Road'!$1:$6</definedName>
    <definedName function="false" hidden="false" localSheetId="4" name="_xlnm.Print_Titles" vbProcedure="false">Requirements!$1:$6</definedName>
    <definedName function="false" hidden="false" localSheetId="2" name="_xlnm.Print_Titles" vbProcedure="false">Stakeholders!$1:$6</definedName>
    <definedName function="false" hidden="false" localSheetId="5" name="_xlnm.Print_Titles" vbProcedure="false">System!$1:$6</definedName>
    <definedName function="false" hidden="false" localSheetId="7" name="_xlnm.Print_Titles" vbProcedure="false">Team!$1:$6</definedName>
    <definedName function="false" hidden="false" localSheetId="8" name="_xlnm.Print_Titles" vbProcedure="false">'Way of Working'!$1:$6</definedName>
    <definedName function="false" hidden="false" localSheetId="6" name="_xlnm.Print_Titles" vbProcedure="false">Work!$1:$6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<sst xmlns="http://schemas.openxmlformats.org/spreadsheetml/2006/main" count="540" uniqueCount="329">
  <si>
    <t xml:space="preserve">Essence Alpha Assessment</t>
  </si>
  <si>
    <t xml:space="preserve">Project progress &amp; performance — kernel + practices, measured by alpha state, assessed at the Solution level.</t>
  </si>
  <si>
    <t xml:space="preserve">OVERALL COMPLETION</t>
  </si>
  <si>
    <t xml:space="preserve">ALPHAS COMPLETE</t>
  </si>
  <si>
    <t xml:space="preserve">CHECKLIST ITEMS</t>
  </si>
  <si>
    <t xml:space="preserve">Domain:</t>
  </si>
  <si>
    <t xml:space="preserve">● Customer</t>
  </si>
  <si>
    <t xml:space="preserve">● Solution</t>
  </si>
  <si>
    <t xml:space="preserve">● Endeavor</t>
  </si>
  <si>
    <t xml:space="preserve">ALPHA</t>
  </si>
  <si>
    <t xml:space="preserve">OWNER</t>
  </si>
  <si>
    <t xml:space="preserve">LEVEL</t>
  </si>
  <si>
    <t xml:space="preserve">CURRENT STATE</t>
  </si>
  <si>
    <t xml:space="preserve">PROGRESS</t>
  </si>
  <si>
    <t xml:space="preserve">TARGET STATE</t>
  </si>
  <si>
    <t xml:space="preserve">STATUS</t>
  </si>
  <si>
    <t xml:space="preserve">CUSTOMER</t>
  </si>
  <si>
    <t xml:space="preserve">Opportunity</t>
  </si>
  <si>
    <t xml:space="preserve">Kernel</t>
  </si>
  <si>
    <t xml:space="preserve">Solution</t>
  </si>
  <si>
    <t xml:space="preserve">Benefit Accrued</t>
  </si>
  <si>
    <t xml:space="preserve">Stakeholders</t>
  </si>
  <si>
    <t xml:space="preserve">Satisfied in Use</t>
  </si>
  <si>
    <t xml:space="preserve">Paved Road</t>
  </si>
  <si>
    <t xml:space="preserve">Enterprise architectuur</t>
  </si>
  <si>
    <t xml:space="preserve">Enterprise</t>
  </si>
  <si>
    <t xml:space="preserve">Pervasive</t>
  </si>
  <si>
    <t xml:space="preserve">SOLUTION</t>
  </si>
  <si>
    <t xml:space="preserve">Requirements</t>
  </si>
  <si>
    <t xml:space="preserve">Fulfilled</t>
  </si>
  <si>
    <t xml:space="preserve">System</t>
  </si>
  <si>
    <t xml:space="preserve">Operational</t>
  </si>
  <si>
    <t xml:space="preserve">ENDEAVOR</t>
  </si>
  <si>
    <t xml:space="preserve">Work</t>
  </si>
  <si>
    <t xml:space="preserve">Closed</t>
  </si>
  <si>
    <t xml:space="preserve">Team</t>
  </si>
  <si>
    <t xml:space="preserve">Performing</t>
  </si>
  <si>
    <t xml:space="preserve">Way of Working</t>
  </si>
  <si>
    <t xml:space="preserve">Working Well</t>
  </si>
  <si>
    <t xml:space="preserve">Governance</t>
  </si>
  <si>
    <t xml:space="preserve">Architectuursturing</t>
  </si>
  <si>
    <t xml:space="preserve">Spans</t>
  </si>
  <si>
    <t xml:space="preserve">Effective</t>
  </si>
  <si>
    <t xml:space="preserve">Tip: open any alpha tab and tick the ✔ column (dropdown) per checklist item — Dashboard updates automatically.</t>
  </si>
  <si>
    <t xml:space="preserve">Status:  ✔ Complete   ● In progress   ○ Not started</t>
  </si>
  <si>
    <t xml:space="preserve">← Dashboard</t>
  </si>
  <si>
    <t xml:space="preserve">The circumstances that make a new or changed system worthwhile.</t>
  </si>
  <si>
    <t xml:space="preserve">STATES ACHIEVED</t>
  </si>
  <si>
    <t xml:space="preserve">OWNER · AREA</t>
  </si>
  <si>
    <t xml:space="preserve">Kernel · Customer</t>
  </si>
  <si>
    <t xml:space="preserve">STATE</t>
  </si>
  <si>
    <t xml:space="preserve">✔</t>
  </si>
  <si>
    <t xml:space="preserve">CHECKLIST ITEM</t>
  </si>
  <si>
    <t xml:space="preserve">STATE STATUS</t>
  </si>
  <si>
    <t xml:space="preserve">1. Identified</t>
  </si>
  <si>
    <t xml:space="preserve">Er is een idee geïdentificeerd om de huidige werkwijze te verbeteren, het marktaandeel te vergroten, of een nieuw of innovatief systeem toe te passen.</t>
  </si>
  <si>
    <t xml:space="preserve">Identified</t>
  </si>
  <si>
    <t xml:space="preserve">Ten minste één van de stakeholders wil investeren om de opportunity en de waarde van het adresseren ervan beter te begrijpen.</t>
  </si>
  <si>
    <t xml:space="preserve">Solution Needed</t>
  </si>
  <si>
    <t xml:space="preserve">De andere stakeholders die de opportunity delen zijn geïdentificeerd.</t>
  </si>
  <si>
    <t xml:space="preserve">Value Established</t>
  </si>
  <si>
    <t xml:space="preserve">2. Solution Needed</t>
  </si>
  <si>
    <t xml:space="preserve">De stakeholders bij de opportunity en de voorgestelde oplossing zijn geïdentificeerd.</t>
  </si>
  <si>
    <t xml:space="preserve">Viable</t>
  </si>
  <si>
    <t xml:space="preserve">De behoeften van de stakeholders die aanleiding geven tot de opportunity zijn vastgesteld.</t>
  </si>
  <si>
    <t xml:space="preserve">Addressed</t>
  </si>
  <si>
    <t xml:space="preserve">Eventuele onderliggende problemen en hun grondoorzaken zijn geïdentificeerd.</t>
  </si>
  <si>
    <t xml:space="preserve">Er is bevestigd dat een systeemgebaseerde oplossing nodig is.</t>
  </si>
  <si>
    <t xml:space="preserve">Er is ten minste één systeemgebaseerde oplossing voorgesteld.</t>
  </si>
  <si>
    <t xml:space="preserve">3. Value Established</t>
  </si>
  <si>
    <t xml:space="preserve">De waarde van het adresseren van de opportunity is gekwantificeerd.</t>
  </si>
  <si>
    <t xml:space="preserve">De impact van de oplossing op de stakeholders is begrepen.</t>
  </si>
  <si>
    <t xml:space="preserve">De waarde die het systeem biedt aan de stakeholders die het financieren en gebruiken, is begrepen.</t>
  </si>
  <si>
    <t xml:space="preserve">De succescriteria waarmee de uitrol wordt beoordeeld, zijn duidelijk.</t>
  </si>
  <si>
    <t xml:space="preserve">De gewenste uitkomsten van de oplossing zijn duidelijk en gekwantificeerd.</t>
  </si>
  <si>
    <t xml:space="preserve">4. Viable</t>
  </si>
  <si>
    <t xml:space="preserve">Een oplossing is geschetst.</t>
  </si>
  <si>
    <t xml:space="preserve">De oplossing kan binnen de gestelde randvoorwaarden worden ontwikkeld en uitgerold.</t>
  </si>
  <si>
    <t xml:space="preserve">De risico's van de oplossing zijn acceptabel en beheersbaar.</t>
  </si>
  <si>
    <t xml:space="preserve">De grove kosteninschatting is lager dan de verwachte waarde van de opportunity.</t>
  </si>
  <si>
    <t xml:space="preserve">Het is duidelijk dat het nastreven van de opportunity haalbaar is.</t>
  </si>
  <si>
    <t xml:space="preserve">5. Addressed</t>
  </si>
  <si>
    <t xml:space="preserve">Er is een bruikbaar systeem beschikbaar dat aantoonbaar de opportunity adresseert.</t>
  </si>
  <si>
    <t xml:space="preserve">De stakeholders zijn het erover eens dat het uitrollen van de beschikbare oplossing de moeite waard is.</t>
  </si>
  <si>
    <t xml:space="preserve">De stakeholders zijn tevreden dat de opgeleverde oplossing de opportunity adresseert.</t>
  </si>
  <si>
    <t xml:space="preserve">6. Benefit Accrued</t>
  </si>
  <si>
    <t xml:space="preserve">De oplossing begint baten op te leveren voor de stakeholders.</t>
  </si>
  <si>
    <t xml:space="preserve">Het return-on-investmentprofiel is minstens zo goed als verwacht.</t>
  </si>
  <si>
    <t xml:space="preserve">The people and groups that affect or are affected by the system.</t>
  </si>
  <si>
    <t xml:space="preserve">1. Recognized</t>
  </si>
  <si>
    <t xml:space="preserve">Alle groepen stakeholders die worden beïnvloed door het systeem zijn geïdentificeerd.</t>
  </si>
  <si>
    <t xml:space="preserve">Recognized</t>
  </si>
  <si>
    <t xml:space="preserve">Er is overeenstemming over de te vertegenwoordigen stakeholdergroepen.</t>
  </si>
  <si>
    <t xml:space="preserve">Represented</t>
  </si>
  <si>
    <t xml:space="preserve">De verantwoordelijkheden van de stakeholdervertegenwoordigers zijn vastgelegd.</t>
  </si>
  <si>
    <t xml:space="preserve">Involved</t>
  </si>
  <si>
    <t xml:space="preserve">2. Represented</t>
  </si>
  <si>
    <t xml:space="preserve">De stakeholdervertegenwoordigers hebben ingestemd met het op zich nemen van hun verantwoordelijkheden.</t>
  </si>
  <si>
    <t xml:space="preserve">In Agreement</t>
  </si>
  <si>
    <t xml:space="preserve">De stakeholdervertegenwoordigers zijn gemachtigd om hun verantwoordelijkheden uit te voeren.</t>
  </si>
  <si>
    <t xml:space="preserve">Satisfied for Deployment</t>
  </si>
  <si>
    <t xml:space="preserve">De samenwerkingsaanpak tussen de stakeholdervertegenwoordigers is overeengekomen.</t>
  </si>
  <si>
    <t xml:space="preserve">De stakeholdervertegenwoordigers ondersteunen en respecteren de werkwijze van het team.</t>
  </si>
  <si>
    <t xml:space="preserve">3. Involved</t>
  </si>
  <si>
    <t xml:space="preserve">De stakeholdervertegenwoordigers ondersteunen het team overeenkomstig hun verantwoordelijkheden.</t>
  </si>
  <si>
    <t xml:space="preserve">De stakeholdervertegenwoordigers geven tijdig feedback en nemen deel aan besluitvorming.</t>
  </si>
  <si>
    <t xml:space="preserve">Wijzigingen worden tijdig gecommuniceerd naar team en stakeholders.</t>
  </si>
  <si>
    <t xml:space="preserve">4. In Agreement</t>
  </si>
  <si>
    <t xml:space="preserve">De minimale verwachtingen van de stakeholdergroepen zijn overeengekomen.</t>
  </si>
  <si>
    <t xml:space="preserve">De stakeholdervertegenwoordigers zijn tevreden met hun betrokkenheid bij het werk.</t>
  </si>
  <si>
    <t xml:space="preserve">De inbreng van de stakeholdervertegenwoordigers wordt door het team gewaardeerd.</t>
  </si>
  <si>
    <t xml:space="preserve">De inbreng van het team wordt door de stakeholdervertegenwoordigers gewaardeerd.</t>
  </si>
  <si>
    <t xml:space="preserve">Prioriteiten zijn duidelijk en perspectieven zijn tegen elkaar afgewogen.</t>
  </si>
  <si>
    <t xml:space="preserve">5. Satisfied for Deployment</t>
  </si>
  <si>
    <t xml:space="preserve">De stakeholdervertegenwoordigers geven feedback op het systeem vanuit het perspectief van hun groep.</t>
  </si>
  <si>
    <t xml:space="preserve">De stakeholdervertegenwoordigers bevestigen dat het systeem klaar is voor uitrol.</t>
  </si>
  <si>
    <t xml:space="preserve">6. Satisfied in Use</t>
  </si>
  <si>
    <t xml:space="preserve">De stakeholders gebruiken het systeem en geven feedback.</t>
  </si>
  <si>
    <t xml:space="preserve">De stakeholders bevestigen dat het systeem aan hun verwachtingen voldoet.</t>
  </si>
  <si>
    <t xml:space="preserve">ENTERPRISE</t>
  </si>
  <si>
    <t xml:space="preserve">The reusable service chassis of approved products, patterns and standards that makes the compliant choice the easy one.</t>
  </si>
  <si>
    <t xml:space="preserve">Enterprise architectuur · Customer</t>
  </si>
  <si>
    <t xml:space="preserve">1. Seeded</t>
  </si>
  <si>
    <t xml:space="preserve">De behoefte aan een paved road wordt onderkend.</t>
  </si>
  <si>
    <t xml:space="preserve">Seeded</t>
  </si>
  <si>
    <t xml:space="preserve">Een eerste goedgekeurde standaardkeuze of twee bestaat al.</t>
  </si>
  <si>
    <t xml:space="preserve">Established</t>
  </si>
  <si>
    <t xml:space="preserve">2. Established</t>
  </si>
  <si>
    <t xml:space="preserve">Een samenhangend service-chassis van goedgekeurde producten, patronen en standaarden is gepubliceerd.</t>
  </si>
  <si>
    <t xml:space="preserve">Adopted</t>
  </si>
  <si>
    <t xml:space="preserve">De paved road is zelfbedienbaar.</t>
  </si>
  <si>
    <t xml:space="preserve">3. Adopted</t>
  </si>
  <si>
    <t xml:space="preserve">Teams bouwen standaard op de paved road.</t>
  </si>
  <si>
    <t xml:space="preserve">Evolving</t>
  </si>
  <si>
    <t xml:space="preserve">On-road keuzes hoeven niet te worden beoordeeld.</t>
  </si>
  <si>
    <t xml:space="preserve">4. Pervasive</t>
  </si>
  <si>
    <t xml:space="preserve">De paved road is de norm binnen het hele landschap.</t>
  </si>
  <si>
    <t xml:space="preserve">Afwijken van de paved road is de zeldzame, verantwoorde uitzondering.</t>
  </si>
  <si>
    <t xml:space="preserve">5. Evolving</t>
  </si>
  <si>
    <t xml:space="preserve">De paved road wordt continu verbreed en gesnoeid.</t>
  </si>
  <si>
    <t xml:space="preserve">Lessen uit beoordelingen worden erin teruggevoerd.</t>
  </si>
  <si>
    <t xml:space="preserve">What the system must do to address the opportunity and satisfy the stakeholders.</t>
  </si>
  <si>
    <t xml:space="preserve">Kernel · Solution</t>
  </si>
  <si>
    <t xml:space="preserve">1. Conceived</t>
  </si>
  <si>
    <t xml:space="preserve">De eerste groep stakeholders is het erover eens dat er een systeem moet worden gerealiseerd.</t>
  </si>
  <si>
    <t xml:space="preserve">Conceived</t>
  </si>
  <si>
    <t xml:space="preserve">De stakeholders die het systeem zullen gebruiken zijn geïdentificeerd.</t>
  </si>
  <si>
    <t xml:space="preserve">Bounded</t>
  </si>
  <si>
    <t xml:space="preserve">De stakeholders die het initiële werk financieren zijn geïdentificeerd.</t>
  </si>
  <si>
    <t xml:space="preserve">Coherent</t>
  </si>
  <si>
    <t xml:space="preserve">Er is een duidelijke opportunity die het systeem kan adresseren.</t>
  </si>
  <si>
    <t xml:space="preserve">Acceptable</t>
  </si>
  <si>
    <t xml:space="preserve">2. Bounded</t>
  </si>
  <si>
    <t xml:space="preserve">De stakeholders die betrokken zijn bij het ontwikkelen van het systeem zijn geïdentificeerd.</t>
  </si>
  <si>
    <t xml:space="preserve">De stakeholders zijn het eens over het doel van het systeem.</t>
  </si>
  <si>
    <t xml:space="preserve">Het is duidelijk wat succes is voor het systeem.</t>
  </si>
  <si>
    <t xml:space="preserve">Er is een gedeeld begrip van de omvang van de oplossing.</t>
  </si>
  <si>
    <t xml:space="preserve">De manier waarop de requirements worden beschreven is overeengekomen.</t>
  </si>
  <si>
    <t xml:space="preserve">De mechanismen voor het beheren van de requirements zijn ingericht.</t>
  </si>
  <si>
    <t xml:space="preserve">Het prioriteringsschema is duidelijk.</t>
  </si>
  <si>
    <t xml:space="preserve">Randvoorwaarden zijn geïdentificeerd en meegewogen.</t>
  </si>
  <si>
    <t xml:space="preserve">Aannames zijn duidelijk vastgelegd.</t>
  </si>
  <si>
    <t xml:space="preserve">3. Coherent</t>
  </si>
  <si>
    <t xml:space="preserve">De requirements zijn vastgelegd en gedeeld met team en stakeholders.</t>
  </si>
  <si>
    <t xml:space="preserve">De herkomst en onderbouwing van de requirements zijn duidelijk.</t>
  </si>
  <si>
    <t xml:space="preserve">Conflicterende requirements zijn geïdentificeerd en opgelost.</t>
  </si>
  <si>
    <t xml:space="preserve">De requirements geven de essentiële kenmerken van het systeem weer.</t>
  </si>
  <si>
    <t xml:space="preserve">De belangrijkste gebruiksscenario's kunnen worden toegelicht.</t>
  </si>
  <si>
    <t xml:space="preserve">De prioriteit van de requirements is duidelijk.</t>
  </si>
  <si>
    <t xml:space="preserve">Het team begrijpt wat opgeleverd moet worden en committeert zich hieraan.</t>
  </si>
  <si>
    <t xml:space="preserve">4. Acceptable</t>
  </si>
  <si>
    <t xml:space="preserve">De stakeholders accepteren dat de requirements een acceptabele oplossing beschrijven.</t>
  </si>
  <si>
    <t xml:space="preserve">De wijzigingssnelheid van overeengekomen requirements is laag en onder controle.</t>
  </si>
  <si>
    <t xml:space="preserve">De waarde van het implementeren van de requirements is duidelijk.</t>
  </si>
  <si>
    <t xml:space="preserve">De requirements zijn testbaar.</t>
  </si>
  <si>
    <t xml:space="preserve">Er zijn voldoende requirements geadresseerd om het systeem acceptabel te maken.</t>
  </si>
  <si>
    <t xml:space="preserve">De geïmplementeerde requirement-items leveren duidelijke waarde.</t>
  </si>
  <si>
    <t xml:space="preserve">Het systeem wordt door de stakeholders geaccepteerd als de moeite waard om operationeel te maken.</t>
  </si>
  <si>
    <t xml:space="preserve">6. Fulfilled</t>
  </si>
  <si>
    <t xml:space="preserve">De stakeholders accepteren dat de requirements vastleggen wat nodig is.</t>
  </si>
  <si>
    <t xml:space="preserve">Er zijn geen openstaande requirement-items die acceptatie verhinderen.</t>
  </si>
  <si>
    <t xml:space="preserve">Het systeem voldoet volledig aan de requirements.</t>
  </si>
  <si>
    <t xml:space="preserve">The system that delivers value — software, configured products, hardware, data and services. A generalisation of Essence's Software System.</t>
  </si>
  <si>
    <t xml:space="preserve">1. Architecture Selected</t>
  </si>
  <si>
    <t xml:space="preserve">De criteria voor het kiezen van de architectuur zijn overeengekomen.</t>
  </si>
  <si>
    <t xml:space="preserve">Architecture Selected</t>
  </si>
  <si>
    <t xml:space="preserve">De belangrijkste concepten en eigenschappen van de architectuur zijn duidelijk vastgelegd.</t>
  </si>
  <si>
    <t xml:space="preserve">Demonstrable</t>
  </si>
  <si>
    <t xml:space="preserve">De gekozen architectuur is duidelijk doordacht.</t>
  </si>
  <si>
    <t xml:space="preserve">Usable</t>
  </si>
  <si>
    <t xml:space="preserve">De systeemgrens is bekend.</t>
  </si>
  <si>
    <t xml:space="preserve">Ready</t>
  </si>
  <si>
    <t xml:space="preserve">Belangrijke beslissingen over de opzet van het systeem zijn genomen.</t>
  </si>
  <si>
    <t xml:space="preserve">Er zijn keuzes gemaakt over kopen, bouwen en hergebruiken.</t>
  </si>
  <si>
    <t xml:space="preserve">Retired</t>
  </si>
  <si>
    <t xml:space="preserve">Er is overeenstemming over de belangrijkste technische risico's.</t>
  </si>
  <si>
    <t xml:space="preserve">2. Demonstrable</t>
  </si>
  <si>
    <t xml:space="preserve">Belangrijke architectuurkenmerken zijn aangetoond.</t>
  </si>
  <si>
    <t xml:space="preserve">Het systeem kan worden gebruikt en de prestaties ervan kunnen worden gemeten.</t>
  </si>
  <si>
    <t xml:space="preserve">Kritieke configuraties van de architectuur zijn aangetoond.</t>
  </si>
  <si>
    <t xml:space="preserve">Kritieke interfaces zijn aangetoond.</t>
  </si>
  <si>
    <t xml:space="preserve">De integratie met andere bestaande systemen is aangetoond.</t>
  </si>
  <si>
    <t xml:space="preserve">De relevante stakeholders zijn het erover eens dat de aangetoonde architectuur passend is.</t>
  </si>
  <si>
    <t xml:space="preserve">3. Usable</t>
  </si>
  <si>
    <t xml:space="preserve">Het systeem kan worden bediend door de stakeholders die het gebruiken.</t>
  </si>
  <si>
    <t xml:space="preserve">De functionaliteit van het systeem is getest.</t>
  </si>
  <si>
    <t xml:space="preserve">De prestaties van het systeem zijn acceptabel voor de stakeholders.</t>
  </si>
  <si>
    <t xml:space="preserve">Het aantal defecten is acceptabel voor de stakeholders.</t>
  </si>
  <si>
    <t xml:space="preserve">Het systeem is voldoende gedocumenteerd.</t>
  </si>
  <si>
    <t xml:space="preserve">De opgeleverde systeemonderdelen zijn bekend.</t>
  </si>
  <si>
    <t xml:space="preserve">De toegevoegde waarde van het systeem is duidelijk.</t>
  </si>
  <si>
    <t xml:space="preserve">4. Ready</t>
  </si>
  <si>
    <t xml:space="preserve">Documentatie over het uitrollen en gebruiken van het systeem in de beoogde omgeving is beschikbaar.</t>
  </si>
  <si>
    <t xml:space="preserve">De stakeholdervertegenwoordigers accepteren dat het systeem geschikt is voor het beoogde doel.</t>
  </si>
  <si>
    <t xml:space="preserve">De stakeholdervertegenwoordigers willen het systeem beschikbaar maken voor gebruik.</t>
  </si>
  <si>
    <t xml:space="preserve">Operationele ondersteuning is ingericht.</t>
  </si>
  <si>
    <t xml:space="preserve">5. Operational</t>
  </si>
  <si>
    <t xml:space="preserve">Het systeem is beschikbaar gesteld aan de stakeholders die het moeten gebruiken.</t>
  </si>
  <si>
    <t xml:space="preserve">Ten minste één voorbeeld van het systeem is volledig operationeel.</t>
  </si>
  <si>
    <t xml:space="preserve">Het systeem wordt volledig ondersteund conform de overeengekomen serviceniveaus.</t>
  </si>
  <si>
    <t xml:space="preserve">6. Retired</t>
  </si>
  <si>
    <t xml:space="preserve">Het systeem is vervangen of buiten gebruik gesteld.</t>
  </si>
  <si>
    <t xml:space="preserve">Het systeem wordt niet langer ondersteund.</t>
  </si>
  <si>
    <t xml:space="preserve">Er zijn geen officiële stakeholders meer die het systeem nog gebruiken.</t>
  </si>
  <si>
    <t xml:space="preserve">Er worden geen updates meer voor het systeem gemaakt.</t>
  </si>
  <si>
    <t xml:space="preserve">The activity and effort applied to produce the result.</t>
  </si>
  <si>
    <t xml:space="preserve">Kernel · Endeavor</t>
  </si>
  <si>
    <t xml:space="preserve">1. Initiated</t>
  </si>
  <si>
    <t xml:space="preserve">De randvoorwaarden en de financieringscontext zijn duidelijk.</t>
  </si>
  <si>
    <t xml:space="preserve">Initiated</t>
  </si>
  <si>
    <t xml:space="preserve">De sponsors zijn geïdentificeerd.</t>
  </si>
  <si>
    <t xml:space="preserve">Prepared</t>
  </si>
  <si>
    <t xml:space="preserve">De prioriteit is duidelijk.</t>
  </si>
  <si>
    <t xml:space="preserve">Started</t>
  </si>
  <si>
    <t xml:space="preserve">Het werk is aangevraagd.</t>
  </si>
  <si>
    <t xml:space="preserve">Under Control</t>
  </si>
  <si>
    <t xml:space="preserve">2. Prepared</t>
  </si>
  <si>
    <t xml:space="preserve">Een geloofwaardig plan en inschatting liggen klaar.</t>
  </si>
  <si>
    <t xml:space="preserve">Concluded</t>
  </si>
  <si>
    <t xml:space="preserve">Financiering en resources zijn toegezegd.</t>
  </si>
  <si>
    <t xml:space="preserve">Belangrijke risico's zijn geïdentificeerd en worden aangepakt.</t>
  </si>
  <si>
    <t xml:space="preserve">De succescriteria zijn overeengekomen.</t>
  </si>
  <si>
    <t xml:space="preserve">Governance en de werkwijze zijn ingericht.</t>
  </si>
  <si>
    <t xml:space="preserve">3. Started</t>
  </si>
  <si>
    <t xml:space="preserve">Het werk is gestart en de voortgang wordt gemonitord.</t>
  </si>
  <si>
    <t xml:space="preserve">Het team voert het werk uit.</t>
  </si>
  <si>
    <t xml:space="preserve">Taken worden afgerond.</t>
  </si>
  <si>
    <t xml:space="preserve">4. Under Control</t>
  </si>
  <si>
    <t xml:space="preserve">Taken worden afgerond en risico's zijn onder controle.</t>
  </si>
  <si>
    <t xml:space="preserve">Inschattingen worden bijgewerkt en herwerk is onder controle.</t>
  </si>
  <si>
    <t xml:space="preserve">Voortgangs- en snelheidsmetingen zijn beschikbaar.</t>
  </si>
  <si>
    <t xml:space="preserve">5. Concluded</t>
  </si>
  <si>
    <t xml:space="preserve">Het werk om de resultaten te realiseren is afgerond.</t>
  </si>
  <si>
    <t xml:space="preserve">De resultaten zijn behaald en geaccepteerd door de stakeholders.</t>
  </si>
  <si>
    <t xml:space="preserve">6. Closed</t>
  </si>
  <si>
    <t xml:space="preserve">Alles is gearchiveerd en de geleerde lessen zijn vastgelegd.</t>
  </si>
  <si>
    <t xml:space="preserve">Het budget is afgewikkeld en het team is vrijgegeven.</t>
  </si>
  <si>
    <t xml:space="preserve">The group actively developing, maintaining and supporting the system.</t>
  </si>
  <si>
    <t xml:space="preserve">De missie van het team is bepaald.</t>
  </si>
  <si>
    <t xml:space="preserve">De randvoorwaarden voor het team zijn bekend.</t>
  </si>
  <si>
    <t xml:space="preserve">Formed</t>
  </si>
  <si>
    <t xml:space="preserve">De benodigde competenties zijn geïdentificeerd.</t>
  </si>
  <si>
    <t xml:space="preserve">Collaborating</t>
  </si>
  <si>
    <t xml:space="preserve">Het leiderschaps- en governancemodel is gekozen.</t>
  </si>
  <si>
    <t xml:space="preserve">De teamgrootte en -samenstelling zijn overeengekomen.</t>
  </si>
  <si>
    <t xml:space="preserve">Adjourned</t>
  </si>
  <si>
    <t xml:space="preserve">2. Formed</t>
  </si>
  <si>
    <t xml:space="preserve">Er zijn voldoende teamleden geworven om te starten.</t>
  </si>
  <si>
    <t xml:space="preserve">De rollen en verantwoordelijkheden worden begrepen.</t>
  </si>
  <si>
    <t xml:space="preserve">De teamleden weten hoe ze moeten samenwerken.</t>
  </si>
  <si>
    <t xml:space="preserve">De teamleden zijn toegewijd.</t>
  </si>
  <si>
    <t xml:space="preserve">3. Collaborating</t>
  </si>
  <si>
    <t xml:space="preserve">Het team werkt als één samenhangende eenheid.</t>
  </si>
  <si>
    <t xml:space="preserve">De communicatie is open en eerlijk.</t>
  </si>
  <si>
    <t xml:space="preserve">Het team is gericht op het realiseren van de missie.</t>
  </si>
  <si>
    <t xml:space="preserve">4. Performing</t>
  </si>
  <si>
    <t xml:space="preserve">Het team komt consequent zijn toezeggingen na.</t>
  </si>
  <si>
    <t xml:space="preserve">Het team past zich aan de veranderende context aan.</t>
  </si>
  <si>
    <t xml:space="preserve">Het team signaleert en lost problemen op zonder hulp van buitenaf.</t>
  </si>
  <si>
    <t xml:space="preserve">5. Adjourned</t>
  </si>
  <si>
    <t xml:space="preserve">De verantwoordelijkheden van het team zijn overgedragen of vervuld.</t>
  </si>
  <si>
    <t xml:space="preserve">De resources zijn vrijgegeven.</t>
  </si>
  <si>
    <t xml:space="preserve">The tailored set of practices and tools the team uses to guide its work.</t>
  </si>
  <si>
    <t xml:space="preserve">1. Principles Established</t>
  </si>
  <si>
    <t xml:space="preserve">Het team committeert zich aan de principes en randvoorwaarden.</t>
  </si>
  <si>
    <t xml:space="preserve">Principles Established</t>
  </si>
  <si>
    <t xml:space="preserve">De principes zijn overeengekomen met de stakeholders.</t>
  </si>
  <si>
    <t xml:space="preserve">Foundation Established</t>
  </si>
  <si>
    <t xml:space="preserve">De benodigde tools en practices worden begrepen.</t>
  </si>
  <si>
    <t xml:space="preserve">In Use</t>
  </si>
  <si>
    <t xml:space="preserve">2. Foundation Established</t>
  </si>
  <si>
    <t xml:space="preserve">De belangrijkste practices en tools zijn gekozen en voldoende geïntegreerd om te starten.</t>
  </si>
  <si>
    <t xml:space="preserve">In Place</t>
  </si>
  <si>
    <t xml:space="preserve">De niet-onderhandelbare practices zijn overeengekomen.</t>
  </si>
  <si>
    <t xml:space="preserve">De capaciteitshiaten worden begrepen.</t>
  </si>
  <si>
    <t xml:space="preserve">3. In Use</t>
  </si>
  <si>
    <t xml:space="preserve">De practices en tools worden door het team gebruikt.</t>
  </si>
  <si>
    <t xml:space="preserve">Het team past de werkwijze aan op zijn behoeften.</t>
  </si>
  <si>
    <t xml:space="preserve">Feedbackmechanismen zijn ingericht.</t>
  </si>
  <si>
    <t xml:space="preserve">4. In Place</t>
  </si>
  <si>
    <t xml:space="preserve">De practices en hulpmiddelen worden door het hele team gebruikt om hun werk uit te voeren.</t>
  </si>
  <si>
    <t xml:space="preserve">Alle teamleden hebben toegang tot de practices en hulpmiddelen die nodig zijn om hun werk te doen.</t>
  </si>
  <si>
    <t xml:space="preserve">Het hele team is betrokken bij het inspecteren en aanpassen van de werkwijze.</t>
  </si>
  <si>
    <t xml:space="preserve">5. Working Well</t>
  </si>
  <si>
    <t xml:space="preserve">Het team levert voorspelbaar op met de werkwijze.</t>
  </si>
  <si>
    <t xml:space="preserve">De practices worden vanzelfsprekend toegepast en continu bijgesteld.</t>
  </si>
  <si>
    <t xml:space="preserve">Het team verbetert de werkwijze continu.</t>
  </si>
  <si>
    <t xml:space="preserve">De werkwijze van het team wordt niet langer gebruikt.</t>
  </si>
  <si>
    <t xml:space="preserve">Geleerde lessen worden gedeeld voor toekomstig gebruik.</t>
  </si>
  <si>
    <t xml:space="preserve">SPANS LEVELS</t>
  </si>
  <si>
    <t xml:space="preserve">The lightweight decision rights, guardrails and assurance that keep delivery aligned with intent.</t>
  </si>
  <si>
    <t xml:space="preserve">Architectuursturing · Endeavor</t>
  </si>
  <si>
    <t xml:space="preserve">De beslissingsrechten en minimale guardrails zijn overeengekomen.</t>
  </si>
  <si>
    <t xml:space="preserve">Het is duidelijk wie wat beslist.</t>
  </si>
  <si>
    <t xml:space="preserve">Engaged</t>
  </si>
  <si>
    <t xml:space="preserve">2. Engaged</t>
  </si>
  <si>
    <t xml:space="preserve">Het Architectuurforum vergadert op een vaste, vooraf gepubliceerde cadans.</t>
  </si>
  <si>
    <t xml:space="preserve">Guiding</t>
  </si>
  <si>
    <t xml:space="preserve">De teams kennen de guardrails.</t>
  </si>
  <si>
    <t xml:space="preserve">Assured</t>
  </si>
  <si>
    <t xml:space="preserve">3. Guiding</t>
  </si>
  <si>
    <t xml:space="preserve">Beslissingen stromen binnen de guardrails.</t>
  </si>
  <si>
    <t xml:space="preserve">Alleen uitzonderingen worden geëscaleerd.</t>
  </si>
  <si>
    <t xml:space="preserve">4. Assured</t>
  </si>
  <si>
    <t xml:space="preserve">De feitelijke werking is vergeleken met de objectives uit Richt governance in.</t>
  </si>
  <si>
    <t xml:space="preserve">De werkwijze zelf is getoetst: activiteiten en werkproducten worden gebruikt zoals bedoeld.</t>
  </si>
  <si>
    <t xml:space="preserve">5. Effective</t>
  </si>
  <si>
    <t xml:space="preserve">Governance maakt levering aantoonbaar mogelijk.</t>
  </si>
  <si>
    <t xml:space="preserve">De governance én de werkwijze zelf worden continu bijgesteld en verlicht.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</si>
</sst>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0%"/>
  </numFmts>
  <fonts count="50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26"/>
      <color rgb="FFFFFFFF"/>
      <name val="Calibri"/>
      <family val="0"/>
      <charset val="1"/>
    </font>
    <font>
      <i val="true"/>
      <sz val="11"/>
      <color rgb="FF5B6472"/>
      <name val="Calibri"/>
      <family val="0"/>
      <charset val="1"/>
    </font>
    <font>
      <b val="true"/>
      <sz val="9"/>
      <color rgb="FFFFFFFF"/>
      <name val="Calibri"/>
      <family val="0"/>
      <charset val="1"/>
    </font>
    <font>
      <b val="true"/>
      <sz val="20"/>
      <color rgb="FF0F6E63"/>
      <name val="Calibri"/>
      <family val="0"/>
      <charset val="1"/>
    </font>
    <font>
      <b val="true"/>
      <sz val="20"/>
      <color rgb="FF4B3F9E"/>
      <name val="Calibri"/>
      <family val="0"/>
      <charset val="1"/>
    </font>
    <font>
      <b val="true"/>
      <sz val="20"/>
      <color rgb="FF0E7490"/>
      <name val="Calibri"/>
      <family val="0"/>
      <charset val="1"/>
    </font>
    <font>
      <i val="true"/>
      <sz val="8.5"/>
      <color rgb="FF5B6472"/>
      <name val="Calibri"/>
      <family val="0"/>
      <charset val="1"/>
    </font>
    <font>
      <b val="true"/>
      <sz val="8.5"/>
      <color rgb="FF1E6B52"/>
      <name val="Calibri"/>
      <family val="0"/>
      <charset val="1"/>
    </font>
    <font>
      <b val="true"/>
      <sz val="8.5"/>
      <color rgb="FF8A6D03"/>
      <name val="Calibri"/>
      <family val="0"/>
      <charset val="1"/>
    </font>
    <font>
      <b val="true"/>
      <sz val="8.5"/>
      <color rgb="FF2557A7"/>
      <name val="Calibri"/>
      <family val="0"/>
      <charset val="1"/>
    </font>
    <font>
      <b val="true"/>
      <sz val="10"/>
      <color rgb="FFFFFFFF"/>
      <name val="Calibri"/>
      <family val="0"/>
      <charset val="1"/>
    </font>
    <font>
      <sz val="11"/>
      <name val="Calibri"/>
      <family val="0"/>
      <charset val="1"/>
    </font>
    <font>
      <b val="true"/>
      <sz val="10.5"/>
      <color rgb="FF1E6B52"/>
      <name val="Calibri"/>
      <family val="0"/>
      <charset val="1"/>
    </font>
    <font>
      <b val="true"/>
      <sz val="8.5"/>
      <color rgb="FF475569"/>
      <name val="Calibri"/>
      <family val="0"/>
      <charset val="1"/>
    </font>
    <font>
      <sz val="10"/>
      <color rgb="FF1C2433"/>
      <name val="Calibri"/>
      <family val="0"/>
      <charset val="1"/>
    </font>
    <font>
      <b val="true"/>
      <sz val="10"/>
      <color rgb="FF5B6472"/>
      <name val="Calibri"/>
      <family val="0"/>
      <charset val="1"/>
    </font>
    <font>
      <sz val="9.5"/>
      <color rgb="FF5B6472"/>
      <name val="Calibri"/>
      <family val="0"/>
      <charset val="1"/>
    </font>
    <font>
      <b val="true"/>
      <sz val="9.5"/>
      <name val="Calibri"/>
      <family val="0"/>
      <charset val="1"/>
    </font>
    <font>
      <b val="true"/>
      <sz val="10"/>
      <color rgb="FF1E293B"/>
      <name val="Calibri"/>
      <family val="0"/>
      <charset val="1"/>
    </font>
    <font>
      <b val="true"/>
      <sz val="10.5"/>
      <color rgb="FF8A6D03"/>
      <name val="Calibri"/>
      <family val="0"/>
      <charset val="1"/>
    </font>
    <font>
      <b val="true"/>
      <sz val="10.5"/>
      <color rgb="FF2557A7"/>
      <name val="Calibri"/>
      <family val="0"/>
      <charset val="1"/>
    </font>
    <font>
      <sz val="9"/>
      <color rgb="FF5B6472"/>
      <name val="Calibri"/>
      <family val="0"/>
      <charset val="1"/>
    </font>
    <font>
      <sz val="8.5"/>
      <color rgb="FF5B6472"/>
      <name val="Calibri"/>
      <family val="0"/>
      <charset val="1"/>
    </font>
    <font>
      <b val="true"/>
      <sz val="9"/>
      <color rgb="FF1C2433"/>
      <name val="Calibri"/>
      <family val="0"/>
      <charset val="1"/>
    </font>
    <font>
      <sz val="11"/>
      <color rgb="FF0000FF"/>
      <name val="Calibri"/>
      <family val="0"/>
      <charset val="1"/>
    </font>
    <font>
      <b val="true"/>
      <u val="single"/>
      <sz val="9"/>
      <color rgb="FF27406B"/>
      <name val="Calibri"/>
      <family val="0"/>
      <charset val="1"/>
    </font>
    <font>
      <b val="true"/>
      <sz val="22"/>
      <color rgb="FFFFFFFF"/>
      <name val="Calibri"/>
      <family val="0"/>
      <charset val="1"/>
    </font>
    <font>
      <b val="true"/>
      <sz val="10"/>
      <color rgb="FF475569"/>
      <name val="Calibri"/>
      <family val="0"/>
      <charset val="1"/>
    </font>
    <font>
      <i val="true"/>
      <sz val="10.5"/>
      <color rgb="FF5B6472"/>
      <name val="Calibri"/>
      <family val="0"/>
      <charset val="1"/>
    </font>
    <font>
      <b val="true"/>
      <sz val="8"/>
      <color rgb="FF5B6472"/>
      <name val="Calibri"/>
      <family val="0"/>
      <charset val="1"/>
    </font>
    <font>
      <b val="true"/>
      <sz val="12"/>
      <color rgb="FF27406B"/>
      <name val="Calibri"/>
      <family val="0"/>
      <charset val="1"/>
    </font>
    <font>
      <b val="true"/>
      <sz val="14"/>
      <color rgb="FF27406B"/>
      <name val="Calibri"/>
      <family val="0"/>
      <charset val="1"/>
    </font>
    <font>
      <b val="true"/>
      <sz val="9.5"/>
      <color rgb="FF27406B"/>
      <name val="Calibri"/>
      <family val="0"/>
      <charset val="1"/>
    </font>
    <font>
      <b val="true"/>
      <sz val="10"/>
      <color rgb="FF1E7A4D"/>
      <name val="Calibri"/>
      <family val="0"/>
      <charset val="1"/>
    </font>
    <font>
      <b val="true"/>
      <sz val="9.5"/>
      <color rgb="FF1E6B52"/>
      <name val="Calibri"/>
      <family val="0"/>
      <charset val="1"/>
    </font>
    <font>
      <b val="true"/>
      <u val="single"/>
      <sz val="9"/>
      <color rgb="FF0F6E63"/>
      <name val="Calibri"/>
      <family val="0"/>
      <charset val="1"/>
    </font>
    <font>
      <b val="true"/>
      <sz val="12"/>
      <color rgb="FF0F6E63"/>
      <name val="Calibri"/>
      <family val="0"/>
      <charset val="1"/>
    </font>
    <font>
      <b val="true"/>
      <sz val="14"/>
      <color rgb="FF0F6E63"/>
      <name val="Calibri"/>
      <family val="0"/>
      <charset val="1"/>
    </font>
    <font>
      <b val="true"/>
      <sz val="9.5"/>
      <color rgb="FF0F6E63"/>
      <name val="Calibri"/>
      <family val="0"/>
      <charset val="1"/>
    </font>
    <font>
      <b val="true"/>
      <sz val="22"/>
      <color rgb="FF1E293B"/>
      <name val="Calibri"/>
      <family val="0"/>
      <charset val="1"/>
    </font>
    <font>
      <b val="true"/>
      <sz val="9.5"/>
      <color rgb="FF8A6D03"/>
      <name val="Calibri"/>
      <family val="0"/>
      <charset val="1"/>
    </font>
    <font>
      <b val="true"/>
      <sz val="9.5"/>
      <color rgb="FF2557A7"/>
      <name val="Calibri"/>
      <family val="0"/>
      <charset val="1"/>
    </font>
    <font>
      <b val="true"/>
      <u val="single"/>
      <sz val="9"/>
      <color rgb="FF4B3F9E"/>
      <name val="Calibri"/>
      <family val="0"/>
      <charset val="1"/>
    </font>
    <font>
      <b val="true"/>
      <sz val="12"/>
      <color rgb="FF4B3F9E"/>
      <name val="Calibri"/>
      <family val="0"/>
      <charset val="1"/>
    </font>
    <font>
      <b val="true"/>
      <sz val="14"/>
      <color rgb="FF4B3F9E"/>
      <name val="Calibri"/>
      <family val="0"/>
      <charset val="1"/>
    </font>
    <font>
      <b val="true"/>
      <sz val="9.5"/>
      <color rgb="FF4B3F9E"/>
      <name val="Calibri"/>
      <family val="0"/>
      <charset val="1"/>
    </font>
  </fonts>
  <fills count="23">
    <fill>
      <patternFill patternType="none"/>
    </fill>
    <fill>
      <patternFill patternType="gray125"/>
    </fill>
    <fill>
      <patternFill patternType="solid">
        <fgColor rgb="FF1C2433"/>
        <bgColor rgb="FF1E293B"/>
      </patternFill>
    </fill>
    <fill>
      <patternFill patternType="solid">
        <fgColor rgb="FF0F6E63"/>
        <bgColor rgb="FF1E6B52"/>
      </patternFill>
    </fill>
    <fill>
      <patternFill patternType="solid">
        <fgColor rgb="FF4B3F9E"/>
        <bgColor rgb="FF475569"/>
      </patternFill>
    </fill>
    <fill>
      <patternFill patternType="solid">
        <fgColor rgb="FF0E7490"/>
        <bgColor rgb="FF0F6E63"/>
      </patternFill>
    </fill>
    <fill>
      <patternFill patternType="solid">
        <fgColor rgb="FFDDEAE9"/>
        <bgColor rgb="FFDFEAE7"/>
      </patternFill>
    </fill>
    <fill>
      <patternFill patternType="solid">
        <fgColor rgb="FFE5E4F1"/>
        <bgColor rgb="FFE2E8F0"/>
      </patternFill>
    </fill>
    <fill>
      <patternFill patternType="solid">
        <fgColor rgb="FFDDEBEF"/>
        <bgColor rgb="FFDDEAE9"/>
      </patternFill>
    </fill>
    <fill>
      <patternFill patternType="solid">
        <fgColor rgb="FF1E6B52"/>
        <bgColor rgb="FF0F6E63"/>
      </patternFill>
    </fill>
    <fill>
      <patternFill patternType="solid">
        <fgColor rgb="FFF1F5F9"/>
        <bgColor rgb="FFE9EEF6"/>
      </patternFill>
    </fill>
    <fill>
      <patternFill patternType="solid">
        <fgColor rgb="FFF0C419"/>
        <bgColor rgb="FFFF9900"/>
      </patternFill>
    </fill>
    <fill>
      <patternFill patternType="solid">
        <fgColor rgb="FF2557A7"/>
        <bgColor rgb="FF27406B"/>
      </patternFill>
    </fill>
    <fill>
      <patternFill patternType="solid">
        <fgColor rgb="FFE0E4EA"/>
        <bgColor rgb="FFE5E4F1"/>
      </patternFill>
    </fill>
    <fill>
      <patternFill patternType="solid">
        <fgColor rgb="FFE8F0EE"/>
        <bgColor rgb="FFE9EEF6"/>
      </patternFill>
    </fill>
    <fill>
      <patternFill patternType="solid">
        <fgColor rgb="FFDFEAE7"/>
        <bgColor rgb="FFDDEAE9"/>
      </patternFill>
    </fill>
    <fill>
      <patternFill patternType="solid">
        <fgColor rgb="FFD2E1DC"/>
        <bgColor rgb="FFD3DDED"/>
      </patternFill>
    </fill>
    <fill>
      <patternFill patternType="solid">
        <fgColor rgb="FFFEF9E8"/>
        <bgColor rgb="FFFDF7DF"/>
      </patternFill>
    </fill>
    <fill>
      <patternFill patternType="solid">
        <fgColor rgb="FFFDF7DF"/>
        <bgColor rgb="FFFEF9E8"/>
      </patternFill>
    </fill>
    <fill>
      <patternFill patternType="solid">
        <fgColor rgb="FFFCF3D1"/>
        <bgColor rgb="FFFDF7DF"/>
      </patternFill>
    </fill>
    <fill>
      <patternFill patternType="solid">
        <fgColor rgb="FFE9EEF6"/>
        <bgColor rgb="FFE8F0EE"/>
      </patternFill>
    </fill>
    <fill>
      <patternFill patternType="solid">
        <fgColor rgb="FFE0E7F3"/>
        <bgColor rgb="FFE2E8F0"/>
      </patternFill>
    </fill>
    <fill>
      <patternFill patternType="solid">
        <fgColor rgb="FFD3DDED"/>
        <bgColor rgb="FFD2E1DC"/>
      </patternFill>
    </fill>
  </fills>
  <borders count="13">
    <border diagonalUp="false" diagonalDown="false">
      <left/>
      <right/>
      <top/>
      <bottom/>
      <diagonal/>
    </border>
    <border diagonalUp="false" diagonalDown="false">
      <left/>
      <right/>
      <top/>
      <bottom style="hair">
        <color rgb="FFE2E8F0"/>
      </bottom>
      <diagonal/>
    </border>
    <border diagonalUp="false" diagonalDown="false">
      <left/>
      <right/>
      <top/>
      <bottom style="thin">
        <color rgb="FF27406B"/>
      </bottom>
      <diagonal/>
    </border>
    <border diagonalUp="false" diagonalDown="false">
      <left/>
      <right/>
      <top style="thin">
        <color rgb="FFFFFFFF"/>
      </top>
      <bottom style="medium">
        <color rgb="FF1E6B52"/>
      </bottom>
      <diagonal/>
    </border>
    <border diagonalUp="false" diagonalDown="false">
      <left style="hair">
        <color rgb="FFD8D0BF"/>
      </left>
      <right style="hair">
        <color rgb="FFD8D0BF"/>
      </right>
      <top style="hair">
        <color rgb="FFD8D0BF"/>
      </top>
      <bottom style="hair">
        <color rgb="FFD8D0BF"/>
      </bottom>
      <diagonal/>
    </border>
    <border diagonalUp="false" diagonalDown="false">
      <left/>
      <right/>
      <top/>
      <bottom style="hair">
        <color rgb="FFD8D0BF"/>
      </bottom>
      <diagonal/>
    </border>
    <border diagonalUp="false" diagonalDown="false">
      <left/>
      <right/>
      <top/>
      <bottom style="medium">
        <color rgb="FF1E6B52"/>
      </bottom>
      <diagonal/>
    </border>
    <border diagonalUp="false" diagonalDown="false">
      <left/>
      <right/>
      <top/>
      <bottom style="thin">
        <color rgb="FF0F6E63"/>
      </bottom>
      <diagonal/>
    </border>
    <border diagonalUp="false" diagonalDown="false">
      <left/>
      <right/>
      <top style="thin">
        <color rgb="FFFFFFFF"/>
      </top>
      <bottom style="medium">
        <color rgb="FFF0C419"/>
      </bottom>
      <diagonal/>
    </border>
    <border diagonalUp="false" diagonalDown="false">
      <left/>
      <right/>
      <top/>
      <bottom style="medium">
        <color rgb="FFF0C419"/>
      </bottom>
      <diagonal/>
    </border>
    <border diagonalUp="false" diagonalDown="false">
      <left/>
      <right/>
      <top style="thin">
        <color rgb="FFFFFFFF"/>
      </top>
      <bottom style="medium">
        <color rgb="FF2557A7"/>
      </bottom>
      <diagonal/>
    </border>
    <border diagonalUp="false" diagonalDown="false">
      <left/>
      <right/>
      <top/>
      <bottom style="medium">
        <color rgb="FF2557A7"/>
      </bottom>
      <diagonal/>
    </border>
    <border diagonalUp="false" diagonalDown="false">
      <left/>
      <right/>
      <top/>
      <bottom style="thin">
        <color rgb="FF4B3F9E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8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general" vertical="center" textRotation="0" wrapText="false" indent="1" shrinkToFit="false"/>
      <protection locked="true" hidden="false"/>
    </xf>
    <xf numFmtId="164" fontId="5" fillId="0" borderId="0" xfId="0" applyFont="true" applyBorder="true" applyAlignment="true" applyProtection="false">
      <alignment horizontal="general" vertical="center" textRotation="0" wrapText="false" indent="1" shrinkToFit="false"/>
      <protection locked="true" hidden="false"/>
    </xf>
    <xf numFmtId="164" fontId="6" fillId="3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4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5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7" fillId="6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7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9" fillId="8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11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12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13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6" fillId="2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6" fillId="2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14" fillId="9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1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6" fillId="0" borderId="1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17" fillId="1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8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5" fontId="19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0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21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2" fillId="11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23" fillId="0" borderId="1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14" fillId="12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24" fillId="0" borderId="1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25" fillId="0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26" fillId="0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27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2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1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9" fillId="0" borderId="0" xfId="0" applyFont="true" applyBorder="false" applyAlignment="true" applyProtection="false">
      <alignment horizontal="general" vertical="bottom" textRotation="0" wrapText="false" indent="1" shrinkToFit="false"/>
      <protection locked="true" hidden="false"/>
    </xf>
    <xf numFmtId="164" fontId="30" fillId="9" borderId="0" xfId="0" applyFont="true" applyBorder="true" applyAlignment="true" applyProtection="false">
      <alignment horizontal="general" vertical="center" textRotation="0" wrapText="false" indent="1" shrinkToFit="false"/>
      <protection locked="true" hidden="false"/>
    </xf>
    <xf numFmtId="164" fontId="31" fillId="1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32" fillId="0" borderId="0" xfId="0" applyFont="true" applyBorder="true" applyAlignment="true" applyProtection="false">
      <alignment horizontal="general" vertical="center" textRotation="0" wrapText="true" indent="1" shrinkToFit="false"/>
      <protection locked="true" hidden="false"/>
    </xf>
    <xf numFmtId="164" fontId="33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34" fillId="13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35" fillId="13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6" fillId="13" borderId="2" xfId="0" applyFont="true" applyBorder="true" applyAlignment="true" applyProtection="false">
      <alignment horizontal="center" vertical="center" textRotation="0" wrapText="false" indent="0" shrinkToFit="true"/>
      <protection locked="true" hidden="false"/>
    </xf>
    <xf numFmtId="164" fontId="6" fillId="2" borderId="0" xfId="0" applyFont="true" applyBorder="false" applyAlignment="true" applyProtection="false">
      <alignment horizontal="left" vertical="center" textRotation="0" wrapText="false" indent="1" shrinkToFit="false"/>
      <protection locked="true" hidden="false"/>
    </xf>
    <xf numFmtId="164" fontId="16" fillId="14" borderId="3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37" fillId="14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8" fillId="14" borderId="5" xfId="0" applyFont="true" applyBorder="true" applyAlignment="true" applyProtection="false">
      <alignment horizontal="general" vertical="center" textRotation="0" wrapText="true" indent="1" shrinkToFit="false"/>
      <protection locked="true" hidden="false"/>
    </xf>
    <xf numFmtId="164" fontId="38" fillId="15" borderId="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7" fillId="14" borderId="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8" fillId="14" borderId="6" xfId="0" applyFont="true" applyBorder="true" applyAlignment="true" applyProtection="false">
      <alignment horizontal="general" vertical="center" textRotation="0" wrapText="true" indent="1" shrinkToFit="false"/>
      <protection locked="true" hidden="false"/>
    </xf>
    <xf numFmtId="164" fontId="16" fillId="16" borderId="3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37" fillId="16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8" fillId="16" borderId="5" xfId="0" applyFont="true" applyBorder="true" applyAlignment="true" applyProtection="false">
      <alignment horizontal="general" vertical="center" textRotation="0" wrapText="true" indent="1" shrinkToFit="false"/>
      <protection locked="true" hidden="false"/>
    </xf>
    <xf numFmtId="164" fontId="37" fillId="16" borderId="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8" fillId="16" borderId="6" xfId="0" applyFont="true" applyBorder="true" applyAlignment="true" applyProtection="false">
      <alignment horizontal="general" vertical="center" textRotation="0" wrapText="true" indent="1" shrinkToFit="false"/>
      <protection locked="true" hidden="false"/>
    </xf>
    <xf numFmtId="164" fontId="39" fillId="0" borderId="0" xfId="0" applyFont="true" applyBorder="false" applyAlignment="true" applyProtection="false">
      <alignment horizontal="general" vertical="bottom" textRotation="0" wrapText="false" indent="1" shrinkToFit="false"/>
      <protection locked="true" hidden="false"/>
    </xf>
    <xf numFmtId="164" fontId="40" fillId="6" borderId="7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41" fillId="6" borderId="7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2" fillId="6" borderId="7" xfId="0" applyFont="true" applyBorder="true" applyAlignment="true" applyProtection="false">
      <alignment horizontal="center" vertical="center" textRotation="0" wrapText="false" indent="0" shrinkToFit="true"/>
      <protection locked="true" hidden="false"/>
    </xf>
    <xf numFmtId="164" fontId="43" fillId="11" borderId="0" xfId="0" applyFont="true" applyBorder="true" applyAlignment="true" applyProtection="false">
      <alignment horizontal="general" vertical="center" textRotation="0" wrapText="false" indent="1" shrinkToFit="false"/>
      <protection locked="true" hidden="false"/>
    </xf>
    <xf numFmtId="164" fontId="23" fillId="17" borderId="8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37" fillId="17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8" fillId="17" borderId="5" xfId="0" applyFont="true" applyBorder="true" applyAlignment="true" applyProtection="false">
      <alignment horizontal="general" vertical="center" textRotation="0" wrapText="true" indent="1" shrinkToFit="false"/>
      <protection locked="true" hidden="false"/>
    </xf>
    <xf numFmtId="164" fontId="44" fillId="18" borderId="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7" fillId="17" borderId="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8" fillId="17" borderId="9" xfId="0" applyFont="true" applyBorder="true" applyAlignment="true" applyProtection="false">
      <alignment horizontal="general" vertical="center" textRotation="0" wrapText="true" indent="1" shrinkToFit="false"/>
      <protection locked="true" hidden="false"/>
    </xf>
    <xf numFmtId="164" fontId="23" fillId="19" borderId="8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37" fillId="19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8" fillId="19" borderId="5" xfId="0" applyFont="true" applyBorder="true" applyAlignment="true" applyProtection="false">
      <alignment horizontal="general" vertical="center" textRotation="0" wrapText="true" indent="1" shrinkToFit="false"/>
      <protection locked="true" hidden="false"/>
    </xf>
    <xf numFmtId="164" fontId="37" fillId="19" borderId="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8" fillId="19" borderId="9" xfId="0" applyFont="true" applyBorder="true" applyAlignment="true" applyProtection="false">
      <alignment horizontal="general" vertical="center" textRotation="0" wrapText="true" indent="1" shrinkToFit="false"/>
      <protection locked="true" hidden="false"/>
    </xf>
    <xf numFmtId="164" fontId="30" fillId="12" borderId="0" xfId="0" applyFont="true" applyBorder="true" applyAlignment="true" applyProtection="false">
      <alignment horizontal="general" vertical="center" textRotation="0" wrapText="false" indent="1" shrinkToFit="false"/>
      <protection locked="true" hidden="false"/>
    </xf>
    <xf numFmtId="164" fontId="24" fillId="20" borderId="10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37" fillId="20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8" fillId="20" borderId="5" xfId="0" applyFont="true" applyBorder="true" applyAlignment="true" applyProtection="false">
      <alignment horizontal="general" vertical="center" textRotation="0" wrapText="true" indent="1" shrinkToFit="false"/>
      <protection locked="true" hidden="false"/>
    </xf>
    <xf numFmtId="164" fontId="45" fillId="21" borderId="1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7" fillId="20" borderId="1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8" fillId="20" borderId="11" xfId="0" applyFont="true" applyBorder="true" applyAlignment="true" applyProtection="false">
      <alignment horizontal="general" vertical="center" textRotation="0" wrapText="true" indent="1" shrinkToFit="false"/>
      <protection locked="true" hidden="false"/>
    </xf>
    <xf numFmtId="164" fontId="24" fillId="22" borderId="10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37" fillId="22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8" fillId="22" borderId="5" xfId="0" applyFont="true" applyBorder="true" applyAlignment="true" applyProtection="false">
      <alignment horizontal="general" vertical="center" textRotation="0" wrapText="true" indent="1" shrinkToFit="false"/>
      <protection locked="true" hidden="false"/>
    </xf>
    <xf numFmtId="164" fontId="37" fillId="22" borderId="1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8" fillId="22" borderId="11" xfId="0" applyFont="true" applyBorder="true" applyAlignment="true" applyProtection="false">
      <alignment horizontal="general" vertical="center" textRotation="0" wrapText="true" indent="1" shrinkToFit="false"/>
      <protection locked="true" hidden="false"/>
    </xf>
    <xf numFmtId="164" fontId="46" fillId="0" borderId="0" xfId="0" applyFont="true" applyBorder="false" applyAlignment="true" applyProtection="false">
      <alignment horizontal="general" vertical="bottom" textRotation="0" wrapText="false" indent="1" shrinkToFit="false"/>
      <protection locked="true" hidden="false"/>
    </xf>
    <xf numFmtId="164" fontId="47" fillId="7" borderId="1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48" fillId="7" borderId="1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9" fillId="7" borderId="12" xfId="0" applyFont="true" applyBorder="true" applyAlignment="true" applyProtection="false">
      <alignment horizontal="center" vertical="center" textRotation="0" wrapText="false" indent="0" shrinkToFit="tru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5">
    <dxf>
      <font>
        <b val="1"/>
        <color rgb="FF1E6B52"/>
      </font>
    </dxf>
    <dxf>
      <font>
        <b val="1"/>
        <color rgb="FFB07D12"/>
      </font>
    </dxf>
    <dxf>
      <font>
        <b val="1"/>
        <color rgb="FF94A3B8"/>
      </font>
    </dxf>
    <dxf>
      <font>
        <name val="Calibri"/>
        <charset val="1"/>
        <family val="0"/>
        <b val="1"/>
        <color rgb="FF1E7A4D"/>
        <sz val="11"/>
      </font>
    </dxf>
    <dxf/>
  </dxfs>
  <colors>
    <indexedColors>
      <rgbColor rgb="FF000000"/>
      <rgbColor rgb="FFFFFFFF"/>
      <rgbColor rgb="FFFF0000"/>
      <rgbColor rgb="FF00FF00"/>
      <rgbColor rgb="FF0000FF"/>
      <rgbColor rgb="FFFEF9E8"/>
      <rgbColor rgb="FFFF00FF"/>
      <rgbColor rgb="FF00FFFF"/>
      <rgbColor rgb="FF800000"/>
      <rgbColor rgb="FF1E6B52"/>
      <rgbColor rgb="FF000080"/>
      <rgbColor rgb="FF8A6D03"/>
      <rgbColor rgb="FF800080"/>
      <rgbColor rgb="FF0E7490"/>
      <rgbColor rgb="FFD8D0BF"/>
      <rgbColor rgb="FFB07D12"/>
      <rgbColor rgb="FFE2E8F0"/>
      <rgbColor rgb="FF475569"/>
      <rgbColor rgb="FFFDF7DF"/>
      <rgbColor rgb="FFDDEBEF"/>
      <rgbColor rgb="FF660066"/>
      <rgbColor rgb="FFE9EEF6"/>
      <rgbColor rgb="FF2557A7"/>
      <rgbColor rgb="FFD3DDED"/>
      <rgbColor rgb="FF000080"/>
      <rgbColor rgb="FFFF00FF"/>
      <rgbColor rgb="FFE8F0EE"/>
      <rgbColor rgb="FF00FFFF"/>
      <rgbColor rgb="FF800080"/>
      <rgbColor rgb="FF800000"/>
      <rgbColor rgb="FF0F6E63"/>
      <rgbColor rgb="FF0000FF"/>
      <rgbColor rgb="FF00CCFF"/>
      <rgbColor rgb="FFDDEAE9"/>
      <rgbColor rgb="FFDFEAE7"/>
      <rgbColor rgb="FFFCF3D1"/>
      <rgbColor rgb="FFD2E1DC"/>
      <rgbColor rgb="FFE0E7F3"/>
      <rgbColor rgb="FFE5E4F1"/>
      <rgbColor rgb="FFE0E4EA"/>
      <rgbColor rgb="FF3366FF"/>
      <rgbColor rgb="FF33CCCC"/>
      <rgbColor rgb="FFF1F5F9"/>
      <rgbColor rgb="FFF0C419"/>
      <rgbColor rgb="FFFF9900"/>
      <rgbColor rgb="FFFF6600"/>
      <rgbColor rgb="FF5B6472"/>
      <rgbColor rgb="FF94A3B8"/>
      <rgbColor rgb="FF27406B"/>
      <rgbColor rgb="FF1E7A4D"/>
      <rgbColor rgb="FF003300"/>
      <rgbColor rgb="FF1C2433"/>
      <rgbColor rgb="FF993300"/>
      <rgbColor rgb="FF993366"/>
      <rgbColor rgb="FF4B3F9E"/>
      <rgbColor rgb="FF1E293B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hyperlink" Target="EA_Alpha_Assessment.xlsx" TargetMode="External"/><Relationship Id="rId2" Type="http://schemas.openxmlformats.org/officeDocument/2006/relationships/hyperlink" Target="EA_Alpha_Assessment.xlsx" TargetMode="External"/><Relationship Id="rId3" Type="http://schemas.openxmlformats.org/officeDocument/2006/relationships/hyperlink" Target="EA_Alpha_Assessment.xlsx" TargetMode="External"/><Relationship Id="rId4" Type="http://schemas.openxmlformats.org/officeDocument/2006/relationships/hyperlink" Target="EA_Alpha_Assessment.xlsx" TargetMode="External"/><Relationship Id="rId5" Type="http://schemas.openxmlformats.org/officeDocument/2006/relationships/hyperlink" Target="EA_Alpha_Assessment.xlsx" TargetMode="External"/><Relationship Id="rId6" Type="http://schemas.openxmlformats.org/officeDocument/2006/relationships/hyperlink" Target="EA_Alpha_Assessment.xlsx" TargetMode="External"/><Relationship Id="rId7" Type="http://schemas.openxmlformats.org/officeDocument/2006/relationships/hyperlink" Target="EA_Alpha_Assessment.xlsx" TargetMode="External"/><Relationship Id="rId8" Type="http://schemas.openxmlformats.org/officeDocument/2006/relationships/hyperlink" Target="EA_Alpha_Assessment.xlsx" TargetMode="External"/><Relationship Id="rId9" Type="http://schemas.openxmlformats.org/officeDocument/2006/relationships/hyperlink" Target="EA_Alpha_Assessment.xlsx" TargetMode="Externa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C2433"/>
    <pageSetUpPr fitToPage="true"/>
  </sheetPr>
  <dimension ref="B1:O29"/>
  <sheetViews>
    <sheetView showFormulas="false" showGridLines="false" showRowColHeaders="true" showZeros="true" rightToLeft="false" tabSelected="true" showOutlineSymbols="true" defaultGridColor="true" view="normal" topLeftCell="A1" colorId="64" zoomScale="110" zoomScaleNormal="110" zoomScalePageLayoutView="100" workbookViewId="0">
      <pane xSplit="1" ySplit="8" topLeftCell="B9" activePane="bottomRight" state="frozen"/>
      <selection pane="topLeft" activeCell="A1" activeCellId="0" sqref="A1"/>
      <selection pane="topRight" activeCell="B1" activeCellId="0" sqref="B1"/>
      <selection pane="bottomLeft" activeCell="A9" activeCellId="0" sqref="A9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3"/>
    <col collapsed="false" customWidth="true" hidden="false" outlineLevel="0" max="2" min="2" style="1" width="24"/>
    <col collapsed="false" customWidth="true" hidden="false" outlineLevel="0" max="3" min="3" style="1" width="15"/>
    <col collapsed="false" customWidth="true" hidden="false" outlineLevel="0" max="4" min="4" style="1" width="13"/>
    <col collapsed="false" customWidth="true" hidden="false" outlineLevel="0" max="5" min="5" style="1" width="22"/>
    <col collapsed="false" customWidth="true" hidden="false" outlineLevel="0" max="6" min="6" style="1" width="16"/>
    <col collapsed="false" customWidth="true" hidden="false" outlineLevel="0" max="7" min="7" style="1" width="22"/>
    <col collapsed="false" customWidth="true" hidden="false" outlineLevel="0" max="8" min="8" style="1" width="18"/>
    <col collapsed="false" customWidth="true" hidden="true" outlineLevel="0" max="15" min="15" style="1" width="13"/>
  </cols>
  <sheetData>
    <row r="1" customFormat="false" ht="15" hidden="false" customHeight="true" outlineLevel="0" collapsed="false">
      <c r="O1" s="1" t="n">
        <f aca="false">O4/O5</f>
        <v>0.5</v>
      </c>
    </row>
    <row r="2" customFormat="false" ht="45.75" hidden="false" customHeight="true" outlineLevel="0" collapsed="false">
      <c r="B2" s="2" t="s">
        <v>0</v>
      </c>
      <c r="C2" s="2"/>
      <c r="D2" s="2"/>
      <c r="E2" s="2"/>
      <c r="F2" s="2"/>
      <c r="G2" s="2"/>
      <c r="H2" s="2"/>
    </row>
    <row r="3" customFormat="false" ht="21.75" hidden="false" customHeight="true" outlineLevel="0" collapsed="false">
      <c r="B3" s="3" t="s">
        <v>1</v>
      </c>
      <c r="C3" s="3"/>
      <c r="D3" s="3"/>
      <c r="E3" s="3"/>
      <c r="F3" s="3"/>
      <c r="G3" s="3"/>
      <c r="H3" s="3"/>
      <c r="O3" s="1" t="n">
        <v>9</v>
      </c>
    </row>
    <row r="4" customFormat="false" ht="15" hidden="false" customHeight="true" outlineLevel="0" collapsed="false">
      <c r="O4" s="1" t="n">
        <f aca="false">Opportunity!M1+Stakeholders!M1+'Paved Road'!M1+Requirements!M1+System!M1+Work!M1+Team!M1+'Way of Working'!M1+Governance!M1</f>
        <v>88</v>
      </c>
    </row>
    <row r="5" customFormat="false" ht="18" hidden="false" customHeight="true" outlineLevel="0" collapsed="false">
      <c r="B5" s="4" t="s">
        <v>2</v>
      </c>
      <c r="C5" s="4"/>
      <c r="D5" s="5" t="s">
        <v>3</v>
      </c>
      <c r="E5" s="5"/>
      <c r="F5" s="6" t="s">
        <v>4</v>
      </c>
      <c r="G5" s="6"/>
      <c r="H5" s="6"/>
      <c r="O5" s="1" t="n">
        <f aca="false">Opportunity!M2+Stakeholders!M2+'Paved Road'!M2+Requirements!M2+System!M2+Work!M2+Team!M2+'Way of Working'!M2+Governance!M2</f>
        <v>176</v>
      </c>
    </row>
    <row r="6" customFormat="false" ht="39.75" hidden="false" customHeight="true" outlineLevel="0" collapsed="false">
      <c r="B6" s="7" t="n">
        <f aca="false">O1</f>
        <v>0.5</v>
      </c>
      <c r="C6" s="7"/>
      <c r="D6" s="8" t="str">
        <f aca="false">COUNTIF(H9:H20,"✔ Complete")&amp;" / "&amp;O3</f>
        <v>0 / 9</v>
      </c>
      <c r="E6" s="8"/>
      <c r="F6" s="9" t="str">
        <f aca="false">O4&amp;" / "&amp;O5</f>
        <v>88 / 176</v>
      </c>
      <c r="G6" s="9"/>
      <c r="H6" s="9"/>
    </row>
    <row r="7" customFormat="false" ht="15.75" hidden="false" customHeight="true" outlineLevel="0" collapsed="false">
      <c r="B7" s="10" t="s">
        <v>5</v>
      </c>
      <c r="C7" s="11" t="s">
        <v>6</v>
      </c>
      <c r="E7" s="12" t="s">
        <v>7</v>
      </c>
      <c r="G7" s="13" t="s">
        <v>8</v>
      </c>
    </row>
    <row r="8" customFormat="false" ht="19.5" hidden="false" customHeight="true" outlineLevel="0" collapsed="false">
      <c r="B8" s="14" t="s">
        <v>9</v>
      </c>
      <c r="C8" s="15" t="s">
        <v>10</v>
      </c>
      <c r="D8" s="15" t="s">
        <v>11</v>
      </c>
      <c r="E8" s="14" t="s">
        <v>12</v>
      </c>
      <c r="F8" s="15" t="s">
        <v>13</v>
      </c>
      <c r="G8" s="14" t="s">
        <v>14</v>
      </c>
      <c r="H8" s="15" t="s">
        <v>15</v>
      </c>
    </row>
    <row r="9" customFormat="false" ht="19.5" hidden="false" customHeight="true" outlineLevel="0" collapsed="false">
      <c r="B9" s="16" t="s">
        <v>16</v>
      </c>
      <c r="C9" s="16"/>
      <c r="D9" s="16"/>
      <c r="E9" s="16"/>
      <c r="F9" s="16"/>
      <c r="G9" s="16"/>
      <c r="H9" s="16"/>
      <c r="I9" s="17"/>
      <c r="J9" s="17"/>
      <c r="K9" s="17"/>
      <c r="L9" s="17"/>
      <c r="M9" s="17"/>
      <c r="N9" s="17"/>
      <c r="O9" s="17"/>
    </row>
    <row r="10" customFormat="false" ht="18" hidden="false" customHeight="true" outlineLevel="0" collapsed="false">
      <c r="B10" s="18" t="s">
        <v>17</v>
      </c>
      <c r="C10" s="19" t="s">
        <v>18</v>
      </c>
      <c r="D10" s="19" t="s">
        <v>19</v>
      </c>
      <c r="E10" s="20" t="str">
        <f aca="false">Opportunity!B5</f>
        <v>Value Established</v>
      </c>
      <c r="F10" s="21" t="n">
        <f aca="false">Opportunity!C5</f>
        <v>0.652173913043478</v>
      </c>
      <c r="G10" s="22" t="s">
        <v>20</v>
      </c>
      <c r="H10" s="23" t="str">
        <f aca="false">IF(F10&gt;=1,"✔ Complete",IF(F10&gt;0,"● In progress","○ Not started"))</f>
        <v>● In progress</v>
      </c>
      <c r="I10" s="17"/>
      <c r="J10" s="17"/>
      <c r="K10" s="17"/>
      <c r="L10" s="17"/>
      <c r="M10" s="17"/>
      <c r="N10" s="17"/>
      <c r="O10" s="17"/>
    </row>
    <row r="11" customFormat="false" ht="18" hidden="false" customHeight="true" outlineLevel="0" collapsed="false">
      <c r="B11" s="18" t="s">
        <v>21</v>
      </c>
      <c r="C11" s="19" t="s">
        <v>18</v>
      </c>
      <c r="D11" s="19" t="s">
        <v>19</v>
      </c>
      <c r="E11" s="20" t="str">
        <f aca="false">Stakeholders!B5</f>
        <v>In Agreement</v>
      </c>
      <c r="F11" s="21" t="n">
        <f aca="false">Stakeholders!C5</f>
        <v>0.789473684210526</v>
      </c>
      <c r="G11" s="22" t="s">
        <v>22</v>
      </c>
      <c r="H11" s="23" t="str">
        <f aca="false">IF(F11&gt;=1,"✔ Complete",IF(F11&gt;0,"● In progress","○ Not started"))</f>
        <v>● In progress</v>
      </c>
      <c r="I11" s="17"/>
      <c r="J11" s="17"/>
      <c r="K11" s="17"/>
      <c r="L11" s="17"/>
      <c r="M11" s="17"/>
      <c r="N11" s="17"/>
      <c r="O11" s="17"/>
    </row>
    <row r="12" customFormat="false" ht="18" hidden="false" customHeight="true" outlineLevel="0" collapsed="false">
      <c r="B12" s="18" t="s">
        <v>23</v>
      </c>
      <c r="C12" s="19" t="s">
        <v>24</v>
      </c>
      <c r="D12" s="19" t="s">
        <v>25</v>
      </c>
      <c r="E12" s="20" t="str">
        <f aca="false">'Paved Road'!B5</f>
        <v>Established</v>
      </c>
      <c r="F12" s="21" t="n">
        <f aca="false">'Paved Road'!C5</f>
        <v>0.5</v>
      </c>
      <c r="G12" s="22" t="s">
        <v>26</v>
      </c>
      <c r="H12" s="23" t="str">
        <f aca="false">IF(F12&gt;=1,"✔ Complete",IF(F12&gt;0,"● In progress","○ Not started"))</f>
        <v>● In progress</v>
      </c>
      <c r="I12" s="17"/>
      <c r="J12" s="17"/>
      <c r="K12" s="17"/>
      <c r="L12" s="17"/>
      <c r="M12" s="17"/>
      <c r="N12" s="17"/>
      <c r="O12" s="17"/>
    </row>
    <row r="13" customFormat="false" ht="19.5" hidden="false" customHeight="true" outlineLevel="0" collapsed="false">
      <c r="B13" s="24" t="s">
        <v>27</v>
      </c>
      <c r="C13" s="24"/>
      <c r="D13" s="24"/>
      <c r="E13" s="24"/>
      <c r="F13" s="24"/>
      <c r="G13" s="24"/>
      <c r="H13" s="24"/>
      <c r="I13" s="17"/>
      <c r="J13" s="17"/>
      <c r="K13" s="17"/>
      <c r="L13" s="17"/>
      <c r="M13" s="17"/>
      <c r="N13" s="17"/>
      <c r="O13" s="17"/>
    </row>
    <row r="14" customFormat="false" ht="18" hidden="false" customHeight="true" outlineLevel="0" collapsed="false">
      <c r="B14" s="25" t="s">
        <v>28</v>
      </c>
      <c r="C14" s="19" t="s">
        <v>18</v>
      </c>
      <c r="D14" s="19" t="s">
        <v>19</v>
      </c>
      <c r="E14" s="20" t="str">
        <f aca="false">Requirements!B5</f>
        <v>Bounded</v>
      </c>
      <c r="F14" s="21" t="n">
        <f aca="false">Requirements!C5</f>
        <v>0.566666666666667</v>
      </c>
      <c r="G14" s="22" t="s">
        <v>29</v>
      </c>
      <c r="H14" s="23" t="str">
        <f aca="false">IF(F14&gt;=1,"✔ Complete",IF(F14&gt;0,"● In progress","○ Not started"))</f>
        <v>● In progress</v>
      </c>
      <c r="I14" s="17"/>
      <c r="J14" s="17"/>
      <c r="K14" s="17"/>
      <c r="L14" s="17"/>
      <c r="M14" s="17"/>
      <c r="N14" s="17"/>
      <c r="O14" s="17"/>
    </row>
    <row r="15" customFormat="false" ht="18" hidden="false" customHeight="true" outlineLevel="0" collapsed="false">
      <c r="B15" s="25" t="s">
        <v>30</v>
      </c>
      <c r="C15" s="19" t="s">
        <v>18</v>
      </c>
      <c r="D15" s="19" t="s">
        <v>19</v>
      </c>
      <c r="E15" s="20" t="str">
        <f aca="false">System!B5</f>
        <v>Not started</v>
      </c>
      <c r="F15" s="21" t="n">
        <f aca="false">System!C5</f>
        <v>0</v>
      </c>
      <c r="G15" s="22" t="s">
        <v>31</v>
      </c>
      <c r="H15" s="23" t="str">
        <f aca="false">IF(F15&gt;=1,"✔ Complete",IF(F15&gt;0,"● In progress","○ Not started"))</f>
        <v>○ Not started</v>
      </c>
      <c r="I15" s="17"/>
      <c r="J15" s="17"/>
      <c r="K15" s="17"/>
      <c r="L15" s="17"/>
      <c r="M15" s="17"/>
      <c r="N15" s="17"/>
      <c r="O15" s="17"/>
    </row>
    <row r="16" customFormat="false" ht="19.5" hidden="false" customHeight="true" outlineLevel="0" collapsed="false">
      <c r="B16" s="26" t="s">
        <v>32</v>
      </c>
      <c r="C16" s="26"/>
      <c r="D16" s="26"/>
      <c r="E16" s="26"/>
      <c r="F16" s="26"/>
      <c r="G16" s="26"/>
      <c r="H16" s="26"/>
      <c r="I16" s="17"/>
      <c r="J16" s="17"/>
      <c r="K16" s="17"/>
      <c r="L16" s="17"/>
      <c r="M16" s="17"/>
      <c r="N16" s="17"/>
      <c r="O16" s="17"/>
    </row>
    <row r="17" customFormat="false" ht="18" hidden="false" customHeight="true" outlineLevel="0" collapsed="false">
      <c r="B17" s="27" t="s">
        <v>33</v>
      </c>
      <c r="C17" s="19" t="s">
        <v>18</v>
      </c>
      <c r="D17" s="19" t="s">
        <v>19</v>
      </c>
      <c r="E17" s="20" t="str">
        <f aca="false">Work!B5</f>
        <v>Prepared</v>
      </c>
      <c r="F17" s="21" t="n">
        <f aca="false">Work!C5</f>
        <v>0.578947368421053</v>
      </c>
      <c r="G17" s="22" t="s">
        <v>34</v>
      </c>
      <c r="H17" s="23" t="str">
        <f aca="false">IF(F17&gt;=1,"✔ Complete",IF(F17&gt;0,"● In progress","○ Not started"))</f>
        <v>● In progress</v>
      </c>
      <c r="I17" s="17"/>
      <c r="J17" s="17"/>
      <c r="K17" s="17"/>
      <c r="L17" s="17"/>
      <c r="M17" s="17"/>
      <c r="N17" s="17"/>
      <c r="O17" s="17"/>
    </row>
    <row r="18" customFormat="false" ht="18" hidden="false" customHeight="true" outlineLevel="0" collapsed="false">
      <c r="B18" s="27" t="s">
        <v>35</v>
      </c>
      <c r="C18" s="19" t="s">
        <v>18</v>
      </c>
      <c r="D18" s="19" t="s">
        <v>19</v>
      </c>
      <c r="E18" s="20" t="str">
        <f aca="false">Team!B5</f>
        <v>Formed</v>
      </c>
      <c r="F18" s="21" t="n">
        <f aca="false">Team!C5</f>
        <v>0.647058823529412</v>
      </c>
      <c r="G18" s="22" t="s">
        <v>36</v>
      </c>
      <c r="H18" s="23" t="str">
        <f aca="false">IF(F18&gt;=1,"✔ Complete",IF(F18&gt;0,"● In progress","○ Not started"))</f>
        <v>● In progress</v>
      </c>
      <c r="I18" s="17"/>
      <c r="J18" s="17"/>
      <c r="K18" s="17"/>
      <c r="L18" s="17"/>
      <c r="M18" s="17"/>
      <c r="N18" s="17"/>
      <c r="O18" s="17"/>
    </row>
    <row r="19" customFormat="false" ht="18" hidden="false" customHeight="true" outlineLevel="0" collapsed="false">
      <c r="B19" s="27" t="s">
        <v>37</v>
      </c>
      <c r="C19" s="19" t="s">
        <v>18</v>
      </c>
      <c r="D19" s="19" t="s">
        <v>19</v>
      </c>
      <c r="E19" s="20" t="str">
        <f aca="false">'Way of Working'!B5</f>
        <v>Foundation Established</v>
      </c>
      <c r="F19" s="21" t="n">
        <f aca="false">'Way of Working'!C5</f>
        <v>0.411764705882353</v>
      </c>
      <c r="G19" s="22" t="s">
        <v>38</v>
      </c>
      <c r="H19" s="23" t="str">
        <f aca="false">IF(F19&gt;=1,"✔ Complete",IF(F19&gt;0,"● In progress","○ Not started"))</f>
        <v>● In progress</v>
      </c>
      <c r="I19" s="17"/>
      <c r="J19" s="17"/>
      <c r="K19" s="17"/>
      <c r="L19" s="17"/>
      <c r="M19" s="17"/>
      <c r="N19" s="17"/>
      <c r="O19" s="17"/>
    </row>
    <row r="20" customFormat="false" ht="18" hidden="false" customHeight="true" outlineLevel="0" collapsed="false">
      <c r="B20" s="27" t="s">
        <v>39</v>
      </c>
      <c r="C20" s="19" t="s">
        <v>40</v>
      </c>
      <c r="D20" s="19" t="s">
        <v>41</v>
      </c>
      <c r="E20" s="20" t="str">
        <f aca="false">Governance!B5</f>
        <v>Guiding</v>
      </c>
      <c r="F20" s="21" t="n">
        <f aca="false">Governance!C5</f>
        <v>0.7</v>
      </c>
      <c r="G20" s="22" t="s">
        <v>42</v>
      </c>
      <c r="H20" s="23" t="str">
        <f aca="false">IF(F20&gt;=1,"✔ Complete",IF(F20&gt;0,"● In progress","○ Not started"))</f>
        <v>● In progress</v>
      </c>
      <c r="I20" s="17"/>
      <c r="J20" s="17"/>
      <c r="K20" s="17"/>
      <c r="L20" s="17"/>
      <c r="M20" s="17"/>
      <c r="N20" s="17"/>
      <c r="O20" s="17"/>
    </row>
    <row r="21" customFormat="false" ht="15" hidden="false" customHeight="true" outlineLevel="0" collapsed="false">
      <c r="B21" s="17"/>
      <c r="C21" s="17"/>
      <c r="D21" s="17"/>
      <c r="E21" s="17"/>
      <c r="F21" s="17"/>
      <c r="G21" s="17"/>
      <c r="H21" s="17"/>
      <c r="I21" s="17"/>
      <c r="J21" s="17"/>
      <c r="K21" s="17"/>
      <c r="L21" s="17"/>
      <c r="M21" s="17"/>
      <c r="N21" s="17"/>
      <c r="O21" s="17"/>
    </row>
    <row r="22" customFormat="false" ht="24" hidden="false" customHeight="true" outlineLevel="0" collapsed="false">
      <c r="B22" s="28" t="s">
        <v>43</v>
      </c>
      <c r="C22" s="28"/>
      <c r="D22" s="28"/>
      <c r="E22" s="28"/>
      <c r="F22" s="28"/>
      <c r="G22" s="28"/>
      <c r="H22" s="28"/>
      <c r="I22" s="17"/>
      <c r="J22" s="17"/>
      <c r="K22" s="17"/>
      <c r="L22" s="17"/>
      <c r="M22" s="17"/>
      <c r="N22" s="17"/>
      <c r="O22" s="17"/>
    </row>
    <row r="23" customFormat="false" ht="15" hidden="false" customHeight="true" outlineLevel="0" collapsed="false">
      <c r="B23" s="29" t="s">
        <v>44</v>
      </c>
      <c r="C23" s="29"/>
      <c r="D23" s="29"/>
      <c r="E23" s="29"/>
      <c r="F23" s="29"/>
      <c r="G23" s="29"/>
      <c r="H23" s="29"/>
      <c r="I23" s="17"/>
      <c r="J23" s="17"/>
      <c r="K23" s="17"/>
      <c r="L23" s="17"/>
      <c r="M23" s="17"/>
      <c r="N23" s="17"/>
      <c r="O23" s="17"/>
    </row>
    <row r="24" customFormat="false" ht="15" hidden="false" customHeight="true" outlineLevel="0" collapsed="false">
      <c r="B24" s="30"/>
      <c r="I24" s="17"/>
      <c r="J24" s="17"/>
      <c r="K24" s="17"/>
      <c r="L24" s="17"/>
      <c r="M24" s="17"/>
      <c r="N24" s="17"/>
      <c r="O24" s="17"/>
    </row>
    <row r="25" customFormat="false" ht="15" hidden="false" customHeight="true" outlineLevel="0" collapsed="false">
      <c r="B25" s="31"/>
      <c r="C25" s="17"/>
      <c r="D25" s="17"/>
      <c r="E25" s="17"/>
      <c r="F25" s="32"/>
      <c r="G25" s="17"/>
      <c r="H25" s="17"/>
      <c r="I25" s="17"/>
      <c r="J25" s="17"/>
      <c r="K25" s="17"/>
      <c r="L25" s="17"/>
      <c r="M25" s="17"/>
      <c r="N25" s="17"/>
      <c r="O25" s="17"/>
    </row>
    <row r="26" customFormat="false" ht="15" hidden="false" customHeight="true" outlineLevel="0" collapsed="false">
      <c r="B26" s="17"/>
      <c r="C26" s="17"/>
      <c r="D26" s="17"/>
      <c r="E26" s="17"/>
      <c r="F26" s="17"/>
      <c r="G26" s="17"/>
      <c r="H26" s="17"/>
      <c r="I26" s="17"/>
      <c r="J26" s="17"/>
      <c r="K26" s="17"/>
      <c r="L26" s="17"/>
      <c r="M26" s="17"/>
      <c r="N26" s="17"/>
      <c r="O26" s="17"/>
    </row>
    <row r="27" customFormat="false" ht="15" hidden="false" customHeight="true" outlineLevel="0" collapsed="false">
      <c r="B27" s="17"/>
      <c r="C27" s="17"/>
      <c r="D27" s="17"/>
      <c r="E27" s="17"/>
      <c r="F27" s="17"/>
      <c r="G27" s="17"/>
      <c r="H27" s="17"/>
      <c r="I27" s="17"/>
      <c r="J27" s="17"/>
      <c r="K27" s="17"/>
      <c r="L27" s="17"/>
      <c r="M27" s="17"/>
      <c r="N27" s="17"/>
      <c r="O27" s="17"/>
    </row>
    <row r="28" customFormat="false" ht="15" hidden="false" customHeight="true" outlineLevel="0" collapsed="false">
      <c r="B28" s="17"/>
      <c r="C28" s="17"/>
      <c r="D28" s="17"/>
      <c r="E28" s="17"/>
      <c r="F28" s="17"/>
      <c r="G28" s="17"/>
      <c r="H28" s="17"/>
      <c r="I28" s="17"/>
      <c r="J28" s="17"/>
      <c r="K28" s="17"/>
      <c r="L28" s="17"/>
      <c r="M28" s="17"/>
      <c r="N28" s="17"/>
      <c r="O28" s="17"/>
    </row>
    <row r="29" customFormat="false" ht="15" hidden="false" customHeight="true" outlineLevel="0" collapsed="false">
      <c r="B29" s="31"/>
      <c r="C29" s="17"/>
      <c r="D29" s="17"/>
      <c r="E29" s="17"/>
      <c r="F29" s="17"/>
      <c r="G29" s="17"/>
      <c r="H29" s="17"/>
      <c r="I29" s="17"/>
      <c r="J29" s="17"/>
      <c r="K29" s="17"/>
      <c r="L29" s="17"/>
      <c r="M29" s="17"/>
      <c r="N29" s="17"/>
      <c r="O29" s="17"/>
    </row>
  </sheetData>
  <mergeCells count="13">
    <mergeCell ref="B2:H2"/>
    <mergeCell ref="B3:H3"/>
    <mergeCell ref="B5:C5"/>
    <mergeCell ref="D5:E5"/>
    <mergeCell ref="F5:H5"/>
    <mergeCell ref="B6:C6"/>
    <mergeCell ref="D6:E6"/>
    <mergeCell ref="F6:H6"/>
    <mergeCell ref="B9:H9"/>
    <mergeCell ref="B13:H13"/>
    <mergeCell ref="B16:H16"/>
    <mergeCell ref="B22:H22"/>
    <mergeCell ref="B23:H23"/>
  </mergeCells>
  <conditionalFormatting sqref="H9:H20">
    <cfRule type="expression" priority="2" aboveAverage="0" equalAverage="0" bottom="0" percent="0" rank="0" text="" dxfId="0">
      <formula>LEFT(H9,1)="✔"</formula>
    </cfRule>
    <cfRule type="expression" priority="3" aboveAverage="0" equalAverage="0" bottom="0" percent="0" rank="0" text="" dxfId="1">
      <formula>LEFT(H9,1)="●"</formula>
    </cfRule>
    <cfRule type="expression" priority="4" aboveAverage="0" equalAverage="0" bottom="0" percent="0" rank="0" text="" dxfId="2">
      <formula>LEFT(H9,1)="○"</formula>
    </cfRule>
  </conditionalFormatting>
  <conditionalFormatting sqref="F10:F12">
    <cfRule type="dataBar" priority="5">
      <dataBar showValue="1" minLength="10" maxLength="90">
        <cfvo type="num" val="0"/>
        <cfvo type="num" val="1"/>
        <color rgb="FF1E6B52"/>
      </dataBar>
      <extLst>
        <ext xmlns:x14="http://schemas.microsoft.com/office/spreadsheetml/2009/9/main" uri="{B025F937-C7B1-47D3-B67F-A62EFF666E3E}">
          <x14:id>{8CB1AB7D-B9B5-4BFC-9CC5-7BA3D37A9633}</x14:id>
        </ext>
      </extLst>
    </cfRule>
  </conditionalFormatting>
  <conditionalFormatting sqref="F14:F15">
    <cfRule type="dataBar" priority="6">
      <dataBar showValue="1" minLength="10" maxLength="90">
        <cfvo type="num" val="0"/>
        <cfvo type="num" val="1"/>
        <color rgb="FFF0C419"/>
      </dataBar>
      <extLst>
        <ext xmlns:x14="http://schemas.microsoft.com/office/spreadsheetml/2009/9/main" uri="{B025F937-C7B1-47D3-B67F-A62EFF666E3E}">
          <x14:id>{FED9921E-D043-436C-8035-A1F4D64C3849}</x14:id>
        </ext>
      </extLst>
    </cfRule>
  </conditionalFormatting>
  <conditionalFormatting sqref="F17:F20">
    <cfRule type="dataBar" priority="7">
      <dataBar showValue="1" minLength="10" maxLength="90">
        <cfvo type="num" val="0"/>
        <cfvo type="num" val="1"/>
        <color rgb="FF2557A7"/>
      </dataBar>
      <extLst>
        <ext xmlns:x14="http://schemas.microsoft.com/office/spreadsheetml/2009/9/main" uri="{B025F937-C7B1-47D3-B67F-A62EFF666E3E}">
          <x14:id>{7437765C-B04F-4510-BAF3-5F50C0AE7216}</x14:id>
        </ext>
      </extLst>
    </cfRule>
  </conditionalFormatting>
  <hyperlinks>
    <hyperlink ref="B10" r:id="rId1" location="'Opportunity'!A1" display="Opportunity"/>
    <hyperlink ref="B11" r:id="rId2" location="'Stakeholders'!A1" display="Stakeholders"/>
    <hyperlink ref="B12" r:id="rId3" location="'Paved%20Road'!A1" display="Paved Road"/>
    <hyperlink ref="B14" r:id="rId4" location="'Requirements'!A1" display="Requirements"/>
    <hyperlink ref="B15" r:id="rId5" location="'System'!A1" display="System"/>
    <hyperlink ref="B17" r:id="rId6" location="'Work'!A1" display="Work"/>
    <hyperlink ref="B18" r:id="rId7" location="'Team'!A1" display="Team"/>
    <hyperlink ref="B19" r:id="rId8" location="'Way%20of%20Working'!A1" display="Way of Working"/>
    <hyperlink ref="B20" r:id="rId9" location="'Governance'!A1" display="Governance"/>
  </hyperlinks>
  <printOptions headings="false" gridLines="false" gridLinesSet="true" horizontalCentered="false" verticalCentered="false"/>
  <pageMargins left="0.3" right="0.3" top="0.4" bottom="0.4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8CB1AB7D-B9B5-4BFC-9CC5-7BA3D37A9633}">
            <x14:dataBar minLength="10" maxLength="90" axisPosition="none" gradient="true">
              <x14:cfvo type="num">
                <xm:f>0</xm:f>
              </x14:cfvo>
              <x14:cfvo type="num">
                <xm:f>1</xm:f>
              </x14:cfvo>
              <x14:negativeFillColor rgb="FF1E6B52"/>
              <x14:axisColor rgb="FF000000"/>
            </x14:dataBar>
          </x14:cfRule>
          <xm:sqref>F10:F12</xm:sqref>
        </x14:conditionalFormatting>
        <x14:conditionalFormatting xmlns:xm="http://schemas.microsoft.com/office/excel/2006/main">
          <x14:cfRule type="dataBar" id="{FED9921E-D043-436C-8035-A1F4D64C3849}">
            <x14:dataBar minLength="10" maxLength="90" axisPosition="none" gradient="true">
              <x14:cfvo type="num">
                <xm:f>0</xm:f>
              </x14:cfvo>
              <x14:cfvo type="num">
                <xm:f>1</xm:f>
              </x14:cfvo>
              <x14:negativeFillColor rgb="FFF0C419"/>
              <x14:axisColor rgb="FF000000"/>
            </x14:dataBar>
          </x14:cfRule>
          <xm:sqref>F14:F15</xm:sqref>
        </x14:conditionalFormatting>
        <x14:conditionalFormatting xmlns:xm="http://schemas.microsoft.com/office/excel/2006/main">
          <x14:cfRule type="dataBar" id="{7437765C-B04F-4510-BAF3-5F50C0AE7216}">
            <x14:dataBar minLength="10" maxLength="90" axisPosition="none" gradient="true">
              <x14:cfvo type="num">
                <xm:f>0</xm:f>
              </x14:cfvo>
              <x14:cfvo type="num">
                <xm:f>1</xm:f>
              </x14:cfvo>
              <x14:negativeFillColor rgb="FF2557A7"/>
              <x14:axisColor rgb="FF000000"/>
            </x14:dataBar>
          </x14:cfRule>
          <xm:sqref>F17:F20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E6B52"/>
    <pageSetUpPr fitToPage="true"/>
  </sheetPr>
  <dimension ref="B1:M29"/>
  <sheetViews>
    <sheetView showFormulas="false" showGridLines="false" showRowColHeaders="true" showZeros="true" rightToLeft="false" tabSelected="false" showOutlineSymbols="true" defaultGridColor="true" view="normal" topLeftCell="A1" colorId="64" zoomScale="110" zoomScaleNormal="110" zoomScalePageLayoutView="100" workbookViewId="0">
      <pane xSplit="1" ySplit="6" topLeftCell="B7" activePane="bottomRight" state="frozen"/>
      <selection pane="topLeft" activeCell="A1" activeCellId="0" sqref="A1"/>
      <selection pane="topRight" activeCell="B1" activeCellId="0" sqref="B1"/>
      <selection pane="bottomLeft" activeCell="A7" activeCellId="0" sqref="A7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3"/>
    <col collapsed="false" customWidth="true" hidden="false" outlineLevel="0" max="2" min="2" style="1" width="27"/>
    <col collapsed="false" customWidth="true" hidden="false" outlineLevel="0" max="3" min="3" style="1" width="6"/>
    <col collapsed="false" customWidth="true" hidden="false" outlineLevel="0" max="4" min="4" style="1" width="95"/>
    <col collapsed="false" customWidth="true" hidden="false" outlineLevel="0" max="5" min="5" style="1" width="16"/>
    <col collapsed="false" customWidth="true" hidden="true" outlineLevel="0" max="13" min="7" style="1" width="13"/>
  </cols>
  <sheetData>
    <row r="1" customFormat="false" ht="15" hidden="false" customHeight="true" outlineLevel="0" collapsed="false">
      <c r="B1" s="33" t="s">
        <v>45</v>
      </c>
      <c r="M1" s="1" t="n">
        <f aca="false">SUM(H7:H12)</f>
        <v>15</v>
      </c>
    </row>
    <row r="2" customFormat="false" ht="39.75" hidden="false" customHeight="true" outlineLevel="0" collapsed="false">
      <c r="B2" s="34" t="s">
        <v>17</v>
      </c>
      <c r="C2" s="34"/>
      <c r="D2" s="34"/>
      <c r="E2" s="35" t="s">
        <v>27</v>
      </c>
      <c r="M2" s="1" t="n">
        <f aca="false">SUM(I7:I12)</f>
        <v>23</v>
      </c>
    </row>
    <row r="3" customFormat="false" ht="31.5" hidden="false" customHeight="true" outlineLevel="0" collapsed="false">
      <c r="B3" s="36" t="s">
        <v>46</v>
      </c>
      <c r="C3" s="36"/>
      <c r="D3" s="36"/>
      <c r="E3" s="36"/>
      <c r="M3" s="1" t="n">
        <f aca="false">SUM(K7:K12)</f>
        <v>3</v>
      </c>
    </row>
    <row r="4" customFormat="false" ht="13.5" hidden="false" customHeight="true" outlineLevel="0" collapsed="false">
      <c r="B4" s="37" t="s">
        <v>12</v>
      </c>
      <c r="C4" s="37" t="s">
        <v>13</v>
      </c>
      <c r="D4" s="37" t="s">
        <v>47</v>
      </c>
      <c r="E4" s="37" t="s">
        <v>48</v>
      </c>
      <c r="M4" s="1" t="n">
        <f aca="false">SUM(J7:J12)</f>
        <v>3</v>
      </c>
    </row>
    <row r="5" customFormat="false" ht="25.5" hidden="false" customHeight="true" outlineLevel="0" collapsed="false">
      <c r="B5" s="38" t="str">
        <f aca="false">IF(M3=0,"Not started",INDEX(G7:G12,M3))</f>
        <v>Value Established</v>
      </c>
      <c r="C5" s="39" t="n">
        <f aca="false">IF(M2=0,0,M1/M2)</f>
        <v>0.652173913043478</v>
      </c>
      <c r="D5" s="38" t="str">
        <f aca="false">M4&amp;" / "&amp;6</f>
        <v>3 / 6</v>
      </c>
      <c r="E5" s="40" t="s">
        <v>49</v>
      </c>
    </row>
    <row r="6" customFormat="false" ht="19.5" hidden="false" customHeight="true" outlineLevel="0" collapsed="false">
      <c r="B6" s="41" t="s">
        <v>50</v>
      </c>
      <c r="C6" s="15" t="s">
        <v>51</v>
      </c>
      <c r="D6" s="41" t="s">
        <v>52</v>
      </c>
      <c r="E6" s="15" t="s">
        <v>53</v>
      </c>
    </row>
    <row r="7" customFormat="false" ht="36" hidden="false" customHeight="true" outlineLevel="0" collapsed="false">
      <c r="B7" s="42" t="s">
        <v>54</v>
      </c>
      <c r="C7" s="43" t="s">
        <v>51</v>
      </c>
      <c r="D7" s="44" t="s">
        <v>55</v>
      </c>
      <c r="E7" s="45" t="str">
        <f aca="false">COUNTIF(C7:C9,"✔")&amp;" / 3"</f>
        <v>3 / 3</v>
      </c>
      <c r="G7" s="1" t="s">
        <v>56</v>
      </c>
      <c r="H7" s="1" t="n">
        <f aca="false">COUNTIF(C7:C9,"✔")</f>
        <v>3</v>
      </c>
      <c r="I7" s="1" t="n">
        <v>3</v>
      </c>
      <c r="J7" s="1" t="n">
        <f aca="false">IF(H7=I7,1,0)</f>
        <v>1</v>
      </c>
      <c r="K7" s="1" t="n">
        <f aca="false">J7</f>
        <v>1</v>
      </c>
    </row>
    <row r="8" customFormat="false" ht="21" hidden="false" customHeight="true" outlineLevel="0" collapsed="false">
      <c r="B8" s="42"/>
      <c r="C8" s="43" t="s">
        <v>51</v>
      </c>
      <c r="D8" s="44" t="s">
        <v>57</v>
      </c>
      <c r="E8" s="45"/>
      <c r="G8" s="1" t="s">
        <v>58</v>
      </c>
      <c r="H8" s="1" t="n">
        <f aca="false">COUNTIF(C10:C14,"✔")</f>
        <v>5</v>
      </c>
      <c r="I8" s="1" t="n">
        <v>5</v>
      </c>
      <c r="J8" s="1" t="n">
        <f aca="false">IF(H8=I8,1,0)</f>
        <v>1</v>
      </c>
      <c r="K8" s="1" t="n">
        <f aca="false">J8*K7</f>
        <v>1</v>
      </c>
    </row>
    <row r="9" customFormat="false" ht="21" hidden="false" customHeight="true" outlineLevel="0" collapsed="false">
      <c r="B9" s="42"/>
      <c r="C9" s="46" t="s">
        <v>51</v>
      </c>
      <c r="D9" s="47" t="s">
        <v>59</v>
      </c>
      <c r="E9" s="45"/>
      <c r="G9" s="1" t="s">
        <v>60</v>
      </c>
      <c r="H9" s="1" t="n">
        <f aca="false">COUNTIF(C15:C19,"✔")</f>
        <v>5</v>
      </c>
      <c r="I9" s="1" t="n">
        <v>5</v>
      </c>
      <c r="J9" s="1" t="n">
        <f aca="false">IF(H9=I9,1,0)</f>
        <v>1</v>
      </c>
      <c r="K9" s="1" t="n">
        <f aca="false">J9*K8</f>
        <v>1</v>
      </c>
    </row>
    <row r="10" customFormat="false" ht="21" hidden="false" customHeight="true" outlineLevel="0" collapsed="false">
      <c r="B10" s="48" t="s">
        <v>61</v>
      </c>
      <c r="C10" s="49" t="s">
        <v>51</v>
      </c>
      <c r="D10" s="50" t="s">
        <v>62</v>
      </c>
      <c r="E10" s="45" t="str">
        <f aca="false">COUNTIF(C10:C14,"✔")&amp;" / 5"</f>
        <v>5 / 5</v>
      </c>
      <c r="G10" s="1" t="s">
        <v>63</v>
      </c>
      <c r="H10" s="1" t="n">
        <f aca="false">COUNTIF(C20:C24,"✔")</f>
        <v>2</v>
      </c>
      <c r="I10" s="1" t="n">
        <v>5</v>
      </c>
      <c r="J10" s="1" t="n">
        <f aca="false">IF(H10=I10,1,0)</f>
        <v>0</v>
      </c>
      <c r="K10" s="1" t="n">
        <f aca="false">J10*K9</f>
        <v>0</v>
      </c>
    </row>
    <row r="11" customFormat="false" ht="21" hidden="false" customHeight="true" outlineLevel="0" collapsed="false">
      <c r="B11" s="48"/>
      <c r="C11" s="49" t="s">
        <v>51</v>
      </c>
      <c r="D11" s="50" t="s">
        <v>64</v>
      </c>
      <c r="E11" s="45"/>
      <c r="G11" s="1" t="s">
        <v>65</v>
      </c>
      <c r="H11" s="1" t="n">
        <f aca="false">COUNTIF(C25:C27,"✔")</f>
        <v>0</v>
      </c>
      <c r="I11" s="1" t="n">
        <v>3</v>
      </c>
      <c r="J11" s="1" t="n">
        <f aca="false">IF(H11=I11,1,0)</f>
        <v>0</v>
      </c>
      <c r="K11" s="1" t="n">
        <f aca="false">J11*K10</f>
        <v>0</v>
      </c>
    </row>
    <row r="12" customFormat="false" ht="21" hidden="false" customHeight="true" outlineLevel="0" collapsed="false">
      <c r="B12" s="48"/>
      <c r="C12" s="49" t="s">
        <v>51</v>
      </c>
      <c r="D12" s="50" t="s">
        <v>66</v>
      </c>
      <c r="E12" s="45"/>
      <c r="G12" s="1" t="s">
        <v>20</v>
      </c>
      <c r="H12" s="1" t="n">
        <f aca="false">COUNTIF(C28:C29,"✔")</f>
        <v>0</v>
      </c>
      <c r="I12" s="1" t="n">
        <v>2</v>
      </c>
      <c r="J12" s="1" t="n">
        <f aca="false">IF(H12=I12,1,0)</f>
        <v>0</v>
      </c>
      <c r="K12" s="1" t="n">
        <f aca="false">J12*K11</f>
        <v>0</v>
      </c>
    </row>
    <row r="13" customFormat="false" ht="21" hidden="false" customHeight="true" outlineLevel="0" collapsed="false">
      <c r="B13" s="48"/>
      <c r="C13" s="49" t="s">
        <v>51</v>
      </c>
      <c r="D13" s="50" t="s">
        <v>67</v>
      </c>
      <c r="E13" s="45"/>
    </row>
    <row r="14" customFormat="false" ht="21" hidden="false" customHeight="true" outlineLevel="0" collapsed="false">
      <c r="B14" s="48"/>
      <c r="C14" s="51" t="s">
        <v>51</v>
      </c>
      <c r="D14" s="52" t="s">
        <v>68</v>
      </c>
      <c r="E14" s="45"/>
    </row>
    <row r="15" customFormat="false" ht="21" hidden="false" customHeight="true" outlineLevel="0" collapsed="false">
      <c r="B15" s="42" t="s">
        <v>69</v>
      </c>
      <c r="C15" s="43" t="s">
        <v>51</v>
      </c>
      <c r="D15" s="44" t="s">
        <v>70</v>
      </c>
      <c r="E15" s="45" t="str">
        <f aca="false">COUNTIF(C15:C19,"✔")&amp;" / 5"</f>
        <v>5 / 5</v>
      </c>
    </row>
    <row r="16" customFormat="false" ht="21" hidden="false" customHeight="true" outlineLevel="0" collapsed="false">
      <c r="B16" s="42"/>
      <c r="C16" s="43" t="s">
        <v>51</v>
      </c>
      <c r="D16" s="44" t="s">
        <v>71</v>
      </c>
      <c r="E16" s="45"/>
    </row>
    <row r="17" customFormat="false" ht="21" hidden="false" customHeight="true" outlineLevel="0" collapsed="false">
      <c r="B17" s="42"/>
      <c r="C17" s="43" t="s">
        <v>51</v>
      </c>
      <c r="D17" s="44" t="s">
        <v>72</v>
      </c>
      <c r="E17" s="45"/>
    </row>
    <row r="18" customFormat="false" ht="21" hidden="false" customHeight="true" outlineLevel="0" collapsed="false">
      <c r="B18" s="42"/>
      <c r="C18" s="43" t="s">
        <v>51</v>
      </c>
      <c r="D18" s="44" t="s">
        <v>73</v>
      </c>
      <c r="E18" s="45"/>
    </row>
    <row r="19" customFormat="false" ht="21" hidden="false" customHeight="true" outlineLevel="0" collapsed="false">
      <c r="B19" s="42"/>
      <c r="C19" s="46" t="s">
        <v>51</v>
      </c>
      <c r="D19" s="47" t="s">
        <v>74</v>
      </c>
      <c r="E19" s="45"/>
    </row>
    <row r="20" customFormat="false" ht="21" hidden="false" customHeight="true" outlineLevel="0" collapsed="false">
      <c r="B20" s="48" t="s">
        <v>75</v>
      </c>
      <c r="C20" s="49" t="s">
        <v>51</v>
      </c>
      <c r="D20" s="50" t="s">
        <v>76</v>
      </c>
      <c r="E20" s="45" t="str">
        <f aca="false">COUNTIF(C20:C24,"✔")&amp;" / 5"</f>
        <v>2 / 5</v>
      </c>
    </row>
    <row r="21" customFormat="false" ht="21" hidden="false" customHeight="true" outlineLevel="0" collapsed="false">
      <c r="B21" s="48"/>
      <c r="C21" s="49" t="s">
        <v>51</v>
      </c>
      <c r="D21" s="50" t="s">
        <v>77</v>
      </c>
      <c r="E21" s="45"/>
    </row>
    <row r="22" customFormat="false" ht="21" hidden="false" customHeight="true" outlineLevel="0" collapsed="false">
      <c r="B22" s="48"/>
      <c r="C22" s="49"/>
      <c r="D22" s="50" t="s">
        <v>78</v>
      </c>
      <c r="E22" s="45"/>
    </row>
    <row r="23" customFormat="false" ht="21" hidden="false" customHeight="true" outlineLevel="0" collapsed="false">
      <c r="B23" s="48"/>
      <c r="C23" s="49"/>
      <c r="D23" s="50" t="s">
        <v>79</v>
      </c>
      <c r="E23" s="45"/>
    </row>
    <row r="24" customFormat="false" ht="21" hidden="false" customHeight="true" outlineLevel="0" collapsed="false">
      <c r="B24" s="48"/>
      <c r="C24" s="51"/>
      <c r="D24" s="52" t="s">
        <v>80</v>
      </c>
      <c r="E24" s="45"/>
    </row>
    <row r="25" customFormat="false" ht="21" hidden="false" customHeight="true" outlineLevel="0" collapsed="false">
      <c r="B25" s="42" t="s">
        <v>81</v>
      </c>
      <c r="C25" s="43"/>
      <c r="D25" s="44" t="s">
        <v>82</v>
      </c>
      <c r="E25" s="45" t="str">
        <f aca="false">COUNTIF(C25:C27,"✔")&amp;" / 3"</f>
        <v>0 / 3</v>
      </c>
    </row>
    <row r="26" customFormat="false" ht="21" hidden="false" customHeight="true" outlineLevel="0" collapsed="false">
      <c r="B26" s="42"/>
      <c r="C26" s="43"/>
      <c r="D26" s="44" t="s">
        <v>83</v>
      </c>
      <c r="E26" s="45"/>
    </row>
    <row r="27" customFormat="false" ht="21" hidden="false" customHeight="true" outlineLevel="0" collapsed="false">
      <c r="B27" s="42"/>
      <c r="C27" s="46"/>
      <c r="D27" s="47" t="s">
        <v>84</v>
      </c>
      <c r="E27" s="45"/>
    </row>
    <row r="28" customFormat="false" ht="21" hidden="false" customHeight="true" outlineLevel="0" collapsed="false">
      <c r="B28" s="48" t="s">
        <v>85</v>
      </c>
      <c r="C28" s="49"/>
      <c r="D28" s="50" t="s">
        <v>86</v>
      </c>
      <c r="E28" s="45" t="str">
        <f aca="false">COUNTIF(C28:C29,"✔")&amp;" / 2"</f>
        <v>0 / 2</v>
      </c>
    </row>
    <row r="29" customFormat="false" ht="21" hidden="false" customHeight="true" outlineLevel="0" collapsed="false">
      <c r="B29" s="48"/>
      <c r="C29" s="51"/>
      <c r="D29" s="52" t="s">
        <v>87</v>
      </c>
      <c r="E29" s="45"/>
    </row>
  </sheetData>
  <mergeCells count="14">
    <mergeCell ref="B2:D2"/>
    <mergeCell ref="B3:E3"/>
    <mergeCell ref="B7:B9"/>
    <mergeCell ref="E7:E9"/>
    <mergeCell ref="B10:B14"/>
    <mergeCell ref="E10:E14"/>
    <mergeCell ref="B15:B19"/>
    <mergeCell ref="E15:E19"/>
    <mergeCell ref="B20:B24"/>
    <mergeCell ref="E20:E24"/>
    <mergeCell ref="B25:B27"/>
    <mergeCell ref="E25:E27"/>
    <mergeCell ref="B28:B29"/>
    <mergeCell ref="E28:E29"/>
  </mergeCells>
  <conditionalFormatting sqref="E7:E9">
    <cfRule type="expression" priority="2" aboveAverage="0" equalAverage="0" bottom="0" percent="0" rank="0" text="" dxfId="3">
      <formula>COUNTIF($C$7:$C$9,"✔")=3</formula>
    </cfRule>
  </conditionalFormatting>
  <conditionalFormatting sqref="E10:E14">
    <cfRule type="expression" priority="3" aboveAverage="0" equalAverage="0" bottom="0" percent="0" rank="0" text="" dxfId="3">
      <formula>COUNTIF($C$10:$C$14,"✔")=5</formula>
    </cfRule>
  </conditionalFormatting>
  <conditionalFormatting sqref="E15:E19">
    <cfRule type="expression" priority="4" aboveAverage="0" equalAverage="0" bottom="0" percent="0" rank="0" text="" dxfId="3">
      <formula>COUNTIF($C$15:$C$19,"✔")=5</formula>
    </cfRule>
  </conditionalFormatting>
  <conditionalFormatting sqref="E20:E24">
    <cfRule type="expression" priority="5" aboveAverage="0" equalAverage="0" bottom="0" percent="0" rank="0" text="" dxfId="3">
      <formula>COUNTIF($C$20:$C$24,"✔")=5</formula>
    </cfRule>
  </conditionalFormatting>
  <conditionalFormatting sqref="E25:E27">
    <cfRule type="expression" priority="6" aboveAverage="0" equalAverage="0" bottom="0" percent="0" rank="0" text="" dxfId="3">
      <formula>COUNTIF($C$25:$C$27,"✔")=3</formula>
    </cfRule>
  </conditionalFormatting>
  <conditionalFormatting sqref="E28:E29">
    <cfRule type="expression" priority="7" aboveAverage="0" equalAverage="0" bottom="0" percent="0" rank="0" text="" dxfId="3">
      <formula>COUNTIF($C$28:$C$29,"✔")=2</formula>
    </cfRule>
  </conditionalFormatting>
  <conditionalFormatting sqref="C7:C29">
    <cfRule type="expression" priority="8" aboveAverage="0" equalAverage="0" bottom="0" percent="0" rank="0" text="" dxfId="4">
      <formula>C7="✔"</formula>
    </cfRule>
  </conditionalFormatting>
  <dataValidations count="1">
    <dataValidation allowBlank="true" errorStyle="stop" operator="between" showDropDown="false" showErrorMessage="false" showInputMessage="false" sqref="C7:C29" type="list">
      <formula1>"✔"</formula1>
      <formula2>0</formula2>
    </dataValidation>
  </dataValidations>
  <hyperlinks>
    <hyperlink ref="B1" location="Dashboard!A1" display="← Dashboard"/>
  </hyperlinks>
  <printOptions headings="false" gridLines="false" gridLinesSet="true" horizontalCentered="false" verticalCentered="false"/>
  <pageMargins left="0.3" right="0.3" top="0.4" bottom="0.4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E6B52"/>
    <pageSetUpPr fitToPage="true"/>
  </sheetPr>
  <dimension ref="B1:M25"/>
  <sheetViews>
    <sheetView showFormulas="false" showGridLines="false" showRowColHeaders="true" showZeros="true" rightToLeft="false" tabSelected="false" showOutlineSymbols="true" defaultGridColor="true" view="normal" topLeftCell="A1" colorId="64" zoomScale="110" zoomScaleNormal="110" zoomScalePageLayoutView="100" workbookViewId="0">
      <pane xSplit="1" ySplit="6" topLeftCell="B7" activePane="bottomRight" state="frozen"/>
      <selection pane="topLeft" activeCell="A1" activeCellId="0" sqref="A1"/>
      <selection pane="topRight" activeCell="B1" activeCellId="0" sqref="B1"/>
      <selection pane="bottomLeft" activeCell="A7" activeCellId="0" sqref="A7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3"/>
    <col collapsed="false" customWidth="true" hidden="false" outlineLevel="0" max="2" min="2" style="1" width="27"/>
    <col collapsed="false" customWidth="true" hidden="false" outlineLevel="0" max="3" min="3" style="1" width="6"/>
    <col collapsed="false" customWidth="true" hidden="false" outlineLevel="0" max="4" min="4" style="1" width="95"/>
    <col collapsed="false" customWidth="true" hidden="false" outlineLevel="0" max="5" min="5" style="1" width="16"/>
    <col collapsed="false" customWidth="true" hidden="true" outlineLevel="0" max="13" min="7" style="1" width="13"/>
  </cols>
  <sheetData>
    <row r="1" customFormat="false" ht="15" hidden="false" customHeight="true" outlineLevel="0" collapsed="false">
      <c r="B1" s="33" t="s">
        <v>45</v>
      </c>
      <c r="M1" s="1" t="n">
        <f aca="false">SUM(H7:H12)</f>
        <v>15</v>
      </c>
    </row>
    <row r="2" customFormat="false" ht="39.75" hidden="false" customHeight="true" outlineLevel="0" collapsed="false">
      <c r="B2" s="34" t="s">
        <v>21</v>
      </c>
      <c r="C2" s="34"/>
      <c r="D2" s="34"/>
      <c r="E2" s="35" t="s">
        <v>27</v>
      </c>
      <c r="M2" s="1" t="n">
        <f aca="false">SUM(I7:I12)</f>
        <v>19</v>
      </c>
    </row>
    <row r="3" customFormat="false" ht="31.5" hidden="false" customHeight="true" outlineLevel="0" collapsed="false">
      <c r="B3" s="36" t="s">
        <v>88</v>
      </c>
      <c r="C3" s="36"/>
      <c r="D3" s="36"/>
      <c r="E3" s="36"/>
      <c r="M3" s="1" t="n">
        <f aca="false">SUM(K7:K12)</f>
        <v>4</v>
      </c>
    </row>
    <row r="4" customFormat="false" ht="13.5" hidden="false" customHeight="true" outlineLevel="0" collapsed="false">
      <c r="B4" s="37" t="s">
        <v>12</v>
      </c>
      <c r="C4" s="37" t="s">
        <v>13</v>
      </c>
      <c r="D4" s="37" t="s">
        <v>47</v>
      </c>
      <c r="E4" s="37" t="s">
        <v>48</v>
      </c>
      <c r="M4" s="1" t="n">
        <f aca="false">SUM(J7:J12)</f>
        <v>4</v>
      </c>
    </row>
    <row r="5" customFormat="false" ht="25.5" hidden="false" customHeight="true" outlineLevel="0" collapsed="false">
      <c r="B5" s="38" t="str">
        <f aca="false">IF(M3=0,"Not started",INDEX(G7:G12,M3))</f>
        <v>In Agreement</v>
      </c>
      <c r="C5" s="39" t="n">
        <f aca="false">IF(M2=0,0,M1/M2)</f>
        <v>0.789473684210526</v>
      </c>
      <c r="D5" s="38" t="str">
        <f aca="false">M4&amp;" / "&amp;6</f>
        <v>4 / 6</v>
      </c>
      <c r="E5" s="40" t="s">
        <v>49</v>
      </c>
    </row>
    <row r="6" customFormat="false" ht="19.5" hidden="false" customHeight="true" outlineLevel="0" collapsed="false">
      <c r="B6" s="41" t="s">
        <v>50</v>
      </c>
      <c r="C6" s="15" t="s">
        <v>51</v>
      </c>
      <c r="D6" s="41" t="s">
        <v>52</v>
      </c>
      <c r="E6" s="15" t="s">
        <v>53</v>
      </c>
    </row>
    <row r="7" customFormat="false" ht="21" hidden="false" customHeight="true" outlineLevel="0" collapsed="false">
      <c r="B7" s="42" t="s">
        <v>89</v>
      </c>
      <c r="C7" s="43" t="s">
        <v>51</v>
      </c>
      <c r="D7" s="44" t="s">
        <v>90</v>
      </c>
      <c r="E7" s="45" t="str">
        <f aca="false">COUNTIF(C7:C9,"✔")&amp;" / 3"</f>
        <v>3 / 3</v>
      </c>
      <c r="G7" s="1" t="s">
        <v>91</v>
      </c>
      <c r="H7" s="1" t="n">
        <f aca="false">COUNTIF(C7:C9,"✔")</f>
        <v>3</v>
      </c>
      <c r="I7" s="1" t="n">
        <v>3</v>
      </c>
      <c r="J7" s="1" t="n">
        <f aca="false">IF(H7=I7,1,0)</f>
        <v>1</v>
      </c>
      <c r="K7" s="1" t="n">
        <f aca="false">J7</f>
        <v>1</v>
      </c>
    </row>
    <row r="8" customFormat="false" ht="21" hidden="false" customHeight="true" outlineLevel="0" collapsed="false">
      <c r="B8" s="42"/>
      <c r="C8" s="43" t="s">
        <v>51</v>
      </c>
      <c r="D8" s="44" t="s">
        <v>92</v>
      </c>
      <c r="E8" s="45"/>
      <c r="G8" s="1" t="s">
        <v>93</v>
      </c>
      <c r="H8" s="1" t="n">
        <f aca="false">COUNTIF(C10:C13,"✔")</f>
        <v>4</v>
      </c>
      <c r="I8" s="1" t="n">
        <v>4</v>
      </c>
      <c r="J8" s="1" t="n">
        <f aca="false">IF(H8=I8,1,0)</f>
        <v>1</v>
      </c>
      <c r="K8" s="1" t="n">
        <f aca="false">J8*K7</f>
        <v>1</v>
      </c>
    </row>
    <row r="9" customFormat="false" ht="21" hidden="false" customHeight="true" outlineLevel="0" collapsed="false">
      <c r="B9" s="42"/>
      <c r="C9" s="46" t="s">
        <v>51</v>
      </c>
      <c r="D9" s="47" t="s">
        <v>94</v>
      </c>
      <c r="E9" s="45"/>
      <c r="G9" s="1" t="s">
        <v>95</v>
      </c>
      <c r="H9" s="1" t="n">
        <f aca="false">COUNTIF(C14:C16,"✔")</f>
        <v>3</v>
      </c>
      <c r="I9" s="1" t="n">
        <v>3</v>
      </c>
      <c r="J9" s="1" t="n">
        <f aca="false">IF(H9=I9,1,0)</f>
        <v>1</v>
      </c>
      <c r="K9" s="1" t="n">
        <f aca="false">J9*K8</f>
        <v>1</v>
      </c>
    </row>
    <row r="10" customFormat="false" ht="21" hidden="false" customHeight="true" outlineLevel="0" collapsed="false">
      <c r="B10" s="48" t="s">
        <v>96</v>
      </c>
      <c r="C10" s="49" t="s">
        <v>51</v>
      </c>
      <c r="D10" s="50" t="s">
        <v>97</v>
      </c>
      <c r="E10" s="45" t="str">
        <f aca="false">COUNTIF(C10:C13,"✔")&amp;" / 4"</f>
        <v>4 / 4</v>
      </c>
      <c r="G10" s="1" t="s">
        <v>98</v>
      </c>
      <c r="H10" s="1" t="n">
        <f aca="false">COUNTIF(C17:C21,"✔")</f>
        <v>5</v>
      </c>
      <c r="I10" s="1" t="n">
        <v>5</v>
      </c>
      <c r="J10" s="1" t="n">
        <f aca="false">IF(H10=I10,1,0)</f>
        <v>1</v>
      </c>
      <c r="K10" s="1" t="n">
        <f aca="false">J10*K9</f>
        <v>1</v>
      </c>
    </row>
    <row r="11" customFormat="false" ht="21" hidden="false" customHeight="true" outlineLevel="0" collapsed="false">
      <c r="B11" s="48"/>
      <c r="C11" s="49" t="s">
        <v>51</v>
      </c>
      <c r="D11" s="50" t="s">
        <v>99</v>
      </c>
      <c r="E11" s="45"/>
      <c r="G11" s="1" t="s">
        <v>100</v>
      </c>
      <c r="H11" s="1" t="n">
        <f aca="false">COUNTIF(C22:C23,"✔")</f>
        <v>0</v>
      </c>
      <c r="I11" s="1" t="n">
        <v>2</v>
      </c>
      <c r="J11" s="1" t="n">
        <f aca="false">IF(H11=I11,1,0)</f>
        <v>0</v>
      </c>
      <c r="K11" s="1" t="n">
        <f aca="false">J11*K10</f>
        <v>0</v>
      </c>
    </row>
    <row r="12" customFormat="false" ht="21" hidden="false" customHeight="true" outlineLevel="0" collapsed="false">
      <c r="B12" s="48"/>
      <c r="C12" s="49" t="s">
        <v>51</v>
      </c>
      <c r="D12" s="50" t="s">
        <v>101</v>
      </c>
      <c r="E12" s="45"/>
      <c r="G12" s="1" t="s">
        <v>22</v>
      </c>
      <c r="H12" s="1" t="n">
        <f aca="false">COUNTIF(C24:C25,"✔")</f>
        <v>0</v>
      </c>
      <c r="I12" s="1" t="n">
        <v>2</v>
      </c>
      <c r="J12" s="1" t="n">
        <f aca="false">IF(H12=I12,1,0)</f>
        <v>0</v>
      </c>
      <c r="K12" s="1" t="n">
        <f aca="false">J12*K11</f>
        <v>0</v>
      </c>
    </row>
    <row r="13" customFormat="false" ht="21" hidden="false" customHeight="true" outlineLevel="0" collapsed="false">
      <c r="B13" s="48"/>
      <c r="C13" s="51" t="s">
        <v>51</v>
      </c>
      <c r="D13" s="52" t="s">
        <v>102</v>
      </c>
      <c r="E13" s="45"/>
    </row>
    <row r="14" customFormat="false" ht="21" hidden="false" customHeight="true" outlineLevel="0" collapsed="false">
      <c r="B14" s="42" t="s">
        <v>103</v>
      </c>
      <c r="C14" s="43" t="s">
        <v>51</v>
      </c>
      <c r="D14" s="44" t="s">
        <v>104</v>
      </c>
      <c r="E14" s="45" t="str">
        <f aca="false">COUNTIF(C14:C16,"✔")&amp;" / 3"</f>
        <v>3 / 3</v>
      </c>
    </row>
    <row r="15" customFormat="false" ht="21" hidden="false" customHeight="true" outlineLevel="0" collapsed="false">
      <c r="B15" s="42"/>
      <c r="C15" s="43" t="s">
        <v>51</v>
      </c>
      <c r="D15" s="44" t="s">
        <v>105</v>
      </c>
      <c r="E15" s="45"/>
    </row>
    <row r="16" customFormat="false" ht="21" hidden="false" customHeight="true" outlineLevel="0" collapsed="false">
      <c r="B16" s="42"/>
      <c r="C16" s="46" t="s">
        <v>51</v>
      </c>
      <c r="D16" s="47" t="s">
        <v>106</v>
      </c>
      <c r="E16" s="45"/>
    </row>
    <row r="17" customFormat="false" ht="21" hidden="false" customHeight="true" outlineLevel="0" collapsed="false">
      <c r="B17" s="48" t="s">
        <v>107</v>
      </c>
      <c r="C17" s="49" t="s">
        <v>51</v>
      </c>
      <c r="D17" s="50" t="s">
        <v>108</v>
      </c>
      <c r="E17" s="45" t="str">
        <f aca="false">COUNTIF(C17:C21,"✔")&amp;" / 5"</f>
        <v>5 / 5</v>
      </c>
    </row>
    <row r="18" customFormat="false" ht="21" hidden="false" customHeight="true" outlineLevel="0" collapsed="false">
      <c r="B18" s="48"/>
      <c r="C18" s="49" t="s">
        <v>51</v>
      </c>
      <c r="D18" s="50" t="s">
        <v>109</v>
      </c>
      <c r="E18" s="45"/>
    </row>
    <row r="19" customFormat="false" ht="21" hidden="false" customHeight="true" outlineLevel="0" collapsed="false">
      <c r="B19" s="48"/>
      <c r="C19" s="49" t="s">
        <v>51</v>
      </c>
      <c r="D19" s="50" t="s">
        <v>110</v>
      </c>
      <c r="E19" s="45"/>
    </row>
    <row r="20" customFormat="false" ht="21" hidden="false" customHeight="true" outlineLevel="0" collapsed="false">
      <c r="B20" s="48"/>
      <c r="C20" s="49" t="s">
        <v>51</v>
      </c>
      <c r="D20" s="50" t="s">
        <v>111</v>
      </c>
      <c r="E20" s="45"/>
    </row>
    <row r="21" customFormat="false" ht="21" hidden="false" customHeight="true" outlineLevel="0" collapsed="false">
      <c r="B21" s="48"/>
      <c r="C21" s="51" t="s">
        <v>51</v>
      </c>
      <c r="D21" s="52" t="s">
        <v>112</v>
      </c>
      <c r="E21" s="45"/>
    </row>
    <row r="22" customFormat="false" ht="21" hidden="false" customHeight="true" outlineLevel="0" collapsed="false">
      <c r="B22" s="42" t="s">
        <v>113</v>
      </c>
      <c r="C22" s="43"/>
      <c r="D22" s="44" t="s">
        <v>114</v>
      </c>
      <c r="E22" s="45" t="str">
        <f aca="false">COUNTIF(C22:C23,"✔")&amp;" / 2"</f>
        <v>0 / 2</v>
      </c>
    </row>
    <row r="23" customFormat="false" ht="21" hidden="false" customHeight="true" outlineLevel="0" collapsed="false">
      <c r="B23" s="42"/>
      <c r="C23" s="46"/>
      <c r="D23" s="47" t="s">
        <v>115</v>
      </c>
      <c r="E23" s="45"/>
    </row>
    <row r="24" customFormat="false" ht="21" hidden="false" customHeight="true" outlineLevel="0" collapsed="false">
      <c r="B24" s="48" t="s">
        <v>116</v>
      </c>
      <c r="C24" s="49"/>
      <c r="D24" s="50" t="s">
        <v>117</v>
      </c>
      <c r="E24" s="45" t="str">
        <f aca="false">COUNTIF(C24:C25,"✔")&amp;" / 2"</f>
        <v>0 / 2</v>
      </c>
    </row>
    <row r="25" customFormat="false" ht="21" hidden="false" customHeight="true" outlineLevel="0" collapsed="false">
      <c r="B25" s="48"/>
      <c r="C25" s="51"/>
      <c r="D25" s="52" t="s">
        <v>118</v>
      </c>
      <c r="E25" s="45"/>
    </row>
  </sheetData>
  <mergeCells count="14">
    <mergeCell ref="B2:D2"/>
    <mergeCell ref="B3:E3"/>
    <mergeCell ref="B7:B9"/>
    <mergeCell ref="E7:E9"/>
    <mergeCell ref="B10:B13"/>
    <mergeCell ref="E10:E13"/>
    <mergeCell ref="B14:B16"/>
    <mergeCell ref="E14:E16"/>
    <mergeCell ref="B17:B21"/>
    <mergeCell ref="E17:E21"/>
    <mergeCell ref="B22:B23"/>
    <mergeCell ref="E22:E23"/>
    <mergeCell ref="B24:B25"/>
    <mergeCell ref="E24:E25"/>
  </mergeCells>
  <conditionalFormatting sqref="E7:E9">
    <cfRule type="expression" priority="2" aboveAverage="0" equalAverage="0" bottom="0" percent="0" rank="0" text="" dxfId="3">
      <formula>COUNTIF($C$7:$C$9,"✔")=3</formula>
    </cfRule>
  </conditionalFormatting>
  <conditionalFormatting sqref="E10:E13">
    <cfRule type="expression" priority="3" aboveAverage="0" equalAverage="0" bottom="0" percent="0" rank="0" text="" dxfId="3">
      <formula>COUNTIF($C$10:$C$13,"✔")=4</formula>
    </cfRule>
  </conditionalFormatting>
  <conditionalFormatting sqref="E14:E16">
    <cfRule type="expression" priority="4" aboveAverage="0" equalAverage="0" bottom="0" percent="0" rank="0" text="" dxfId="3">
      <formula>COUNTIF($C$14:$C$16,"✔")=3</formula>
    </cfRule>
  </conditionalFormatting>
  <conditionalFormatting sqref="E17:E21">
    <cfRule type="expression" priority="5" aboveAverage="0" equalAverage="0" bottom="0" percent="0" rank="0" text="" dxfId="3">
      <formula>COUNTIF($C$17:$C$21,"✔")=5</formula>
    </cfRule>
  </conditionalFormatting>
  <conditionalFormatting sqref="E22:E23">
    <cfRule type="expression" priority="6" aboveAverage="0" equalAverage="0" bottom="0" percent="0" rank="0" text="" dxfId="3">
      <formula>COUNTIF($C$22:$C$23,"✔")=2</formula>
    </cfRule>
  </conditionalFormatting>
  <conditionalFormatting sqref="E24:E25">
    <cfRule type="expression" priority="7" aboveAverage="0" equalAverage="0" bottom="0" percent="0" rank="0" text="" dxfId="3">
      <formula>COUNTIF($C$24:$C$25,"✔")=2</formula>
    </cfRule>
  </conditionalFormatting>
  <conditionalFormatting sqref="C7:C25">
    <cfRule type="expression" priority="8" aboveAverage="0" equalAverage="0" bottom="0" percent="0" rank="0" text="" dxfId="4">
      <formula>C7="✔"</formula>
    </cfRule>
  </conditionalFormatting>
  <dataValidations count="1">
    <dataValidation allowBlank="true" errorStyle="stop" operator="between" showDropDown="false" showErrorMessage="false" showInputMessage="false" sqref="C7:C25" type="list">
      <formula1>"✔"</formula1>
      <formula2>0</formula2>
    </dataValidation>
  </dataValidations>
  <hyperlinks>
    <hyperlink ref="B1" location="Dashboard!A1" display="← Dashboard"/>
  </hyperlinks>
  <printOptions headings="false" gridLines="false" gridLinesSet="true" horizontalCentered="false" verticalCentered="false"/>
  <pageMargins left="0.3" right="0.3" top="0.4" bottom="0.4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E6B52"/>
    <pageSetUpPr fitToPage="true"/>
  </sheetPr>
  <dimension ref="B1:M16"/>
  <sheetViews>
    <sheetView showFormulas="false" showGridLines="false" showRowColHeaders="true" showZeros="true" rightToLeft="false" tabSelected="false" showOutlineSymbols="true" defaultGridColor="true" view="normal" topLeftCell="A1" colorId="64" zoomScale="110" zoomScaleNormal="110" zoomScalePageLayoutView="100" workbookViewId="0">
      <pane xSplit="1" ySplit="6" topLeftCell="B7" activePane="bottomRight" state="frozen"/>
      <selection pane="topLeft" activeCell="A1" activeCellId="0" sqref="A1"/>
      <selection pane="topRight" activeCell="B1" activeCellId="0" sqref="B1"/>
      <selection pane="bottomLeft" activeCell="A7" activeCellId="0" sqref="A7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3"/>
    <col collapsed="false" customWidth="true" hidden="false" outlineLevel="0" max="2" min="2" style="1" width="27"/>
    <col collapsed="false" customWidth="true" hidden="false" outlineLevel="0" max="3" min="3" style="1" width="6"/>
    <col collapsed="false" customWidth="true" hidden="false" outlineLevel="0" max="4" min="4" style="1" width="95"/>
    <col collapsed="false" customWidth="true" hidden="false" outlineLevel="0" max="5" min="5" style="1" width="16"/>
    <col collapsed="false" customWidth="true" hidden="true" outlineLevel="0" max="13" min="7" style="1" width="13"/>
  </cols>
  <sheetData>
    <row r="1" customFormat="false" ht="15" hidden="false" customHeight="true" outlineLevel="0" collapsed="false">
      <c r="B1" s="53" t="s">
        <v>45</v>
      </c>
      <c r="M1" s="1" t="n">
        <f aca="false">SUM(H7:H11)</f>
        <v>5</v>
      </c>
    </row>
    <row r="2" customFormat="false" ht="39.75" hidden="false" customHeight="true" outlineLevel="0" collapsed="false">
      <c r="B2" s="34" t="s">
        <v>23</v>
      </c>
      <c r="C2" s="34"/>
      <c r="D2" s="34"/>
      <c r="E2" s="35" t="s">
        <v>119</v>
      </c>
      <c r="M2" s="1" t="n">
        <f aca="false">SUM(I7:I11)</f>
        <v>10</v>
      </c>
    </row>
    <row r="3" customFormat="false" ht="31.5" hidden="false" customHeight="true" outlineLevel="0" collapsed="false">
      <c r="B3" s="36" t="s">
        <v>120</v>
      </c>
      <c r="C3" s="36"/>
      <c r="D3" s="36"/>
      <c r="E3" s="36"/>
      <c r="M3" s="1" t="n">
        <f aca="false">SUM(K7:K11)</f>
        <v>2</v>
      </c>
    </row>
    <row r="4" customFormat="false" ht="13.5" hidden="false" customHeight="true" outlineLevel="0" collapsed="false">
      <c r="B4" s="37" t="s">
        <v>12</v>
      </c>
      <c r="C4" s="37" t="s">
        <v>13</v>
      </c>
      <c r="D4" s="37" t="s">
        <v>47</v>
      </c>
      <c r="E4" s="37" t="s">
        <v>48</v>
      </c>
      <c r="M4" s="1" t="n">
        <f aca="false">SUM(J7:J11)</f>
        <v>2</v>
      </c>
    </row>
    <row r="5" customFormat="false" ht="25.5" hidden="false" customHeight="true" outlineLevel="0" collapsed="false">
      <c r="B5" s="54" t="str">
        <f aca="false">IF(M3=0,"Not started",INDEX(G7:G11,M3))</f>
        <v>Established</v>
      </c>
      <c r="C5" s="55" t="n">
        <f aca="false">IF(M2=0,0,M1/M2)</f>
        <v>0.5</v>
      </c>
      <c r="D5" s="54" t="str">
        <f aca="false">M4&amp;" / "&amp;5</f>
        <v>2 / 5</v>
      </c>
      <c r="E5" s="56" t="s">
        <v>121</v>
      </c>
    </row>
    <row r="6" customFormat="false" ht="19.5" hidden="false" customHeight="true" outlineLevel="0" collapsed="false">
      <c r="B6" s="41" t="s">
        <v>50</v>
      </c>
      <c r="C6" s="15" t="s">
        <v>51</v>
      </c>
      <c r="D6" s="41" t="s">
        <v>52</v>
      </c>
      <c r="E6" s="15" t="s">
        <v>53</v>
      </c>
    </row>
    <row r="7" customFormat="false" ht="21" hidden="false" customHeight="true" outlineLevel="0" collapsed="false">
      <c r="B7" s="42" t="s">
        <v>122</v>
      </c>
      <c r="C7" s="43" t="s">
        <v>51</v>
      </c>
      <c r="D7" s="44" t="s">
        <v>123</v>
      </c>
      <c r="E7" s="45" t="str">
        <f aca="false">COUNTIF(C7:C8,"✔")&amp;" / 2"</f>
        <v>2 / 2</v>
      </c>
      <c r="G7" s="1" t="s">
        <v>124</v>
      </c>
      <c r="H7" s="1" t="n">
        <f aca="false">COUNTIF(C7:C8,"✔")</f>
        <v>2</v>
      </c>
      <c r="I7" s="1" t="n">
        <v>2</v>
      </c>
      <c r="J7" s="1" t="n">
        <f aca="false">IF(H7=I7,1,0)</f>
        <v>1</v>
      </c>
      <c r="K7" s="1" t="n">
        <f aca="false">J7</f>
        <v>1</v>
      </c>
    </row>
    <row r="8" customFormat="false" ht="21" hidden="false" customHeight="true" outlineLevel="0" collapsed="false">
      <c r="B8" s="42"/>
      <c r="C8" s="46" t="s">
        <v>51</v>
      </c>
      <c r="D8" s="47" t="s">
        <v>125</v>
      </c>
      <c r="E8" s="45"/>
      <c r="G8" s="1" t="s">
        <v>126</v>
      </c>
      <c r="H8" s="1" t="n">
        <f aca="false">COUNTIF(C9:C10,"✔")</f>
        <v>2</v>
      </c>
      <c r="I8" s="1" t="n">
        <v>2</v>
      </c>
      <c r="J8" s="1" t="n">
        <f aca="false">IF(H8=I8,1,0)</f>
        <v>1</v>
      </c>
      <c r="K8" s="1" t="n">
        <f aca="false">J8*K7</f>
        <v>1</v>
      </c>
    </row>
    <row r="9" customFormat="false" ht="21" hidden="false" customHeight="true" outlineLevel="0" collapsed="false">
      <c r="B9" s="48" t="s">
        <v>127</v>
      </c>
      <c r="C9" s="49" t="s">
        <v>51</v>
      </c>
      <c r="D9" s="50" t="s">
        <v>128</v>
      </c>
      <c r="E9" s="45" t="str">
        <f aca="false">COUNTIF(C9:C10,"✔")&amp;" / 2"</f>
        <v>2 / 2</v>
      </c>
      <c r="G9" s="1" t="s">
        <v>129</v>
      </c>
      <c r="H9" s="1" t="n">
        <f aca="false">COUNTIF(C11:C12,"✔")</f>
        <v>1</v>
      </c>
      <c r="I9" s="1" t="n">
        <v>2</v>
      </c>
      <c r="J9" s="1" t="n">
        <f aca="false">IF(H9=I9,1,0)</f>
        <v>0</v>
      </c>
      <c r="K9" s="1" t="n">
        <f aca="false">J9*K8</f>
        <v>0</v>
      </c>
    </row>
    <row r="10" customFormat="false" ht="21" hidden="false" customHeight="true" outlineLevel="0" collapsed="false">
      <c r="B10" s="48"/>
      <c r="C10" s="51" t="s">
        <v>51</v>
      </c>
      <c r="D10" s="52" t="s">
        <v>130</v>
      </c>
      <c r="E10" s="45"/>
      <c r="G10" s="1" t="s">
        <v>26</v>
      </c>
      <c r="H10" s="1" t="n">
        <f aca="false">COUNTIF(C13:C14,"✔")</f>
        <v>0</v>
      </c>
      <c r="I10" s="1" t="n">
        <v>2</v>
      </c>
      <c r="J10" s="1" t="n">
        <f aca="false">IF(H10=I10,1,0)</f>
        <v>0</v>
      </c>
      <c r="K10" s="1" t="n">
        <f aca="false">J10*K9</f>
        <v>0</v>
      </c>
    </row>
    <row r="11" customFormat="false" ht="21" hidden="false" customHeight="true" outlineLevel="0" collapsed="false">
      <c r="B11" s="42" t="s">
        <v>131</v>
      </c>
      <c r="C11" s="43" t="s">
        <v>51</v>
      </c>
      <c r="D11" s="44" t="s">
        <v>132</v>
      </c>
      <c r="E11" s="45" t="str">
        <f aca="false">COUNTIF(C11:C12,"✔")&amp;" / 2"</f>
        <v>1 / 2</v>
      </c>
      <c r="G11" s="1" t="s">
        <v>133</v>
      </c>
      <c r="H11" s="1" t="n">
        <f aca="false">COUNTIF(C15:C16,"✔")</f>
        <v>0</v>
      </c>
      <c r="I11" s="1" t="n">
        <v>2</v>
      </c>
      <c r="J11" s="1" t="n">
        <f aca="false">IF(H11=I11,1,0)</f>
        <v>0</v>
      </c>
      <c r="K11" s="1" t="n">
        <f aca="false">J11*K10</f>
        <v>0</v>
      </c>
    </row>
    <row r="12" customFormat="false" ht="21" hidden="false" customHeight="true" outlineLevel="0" collapsed="false">
      <c r="B12" s="42"/>
      <c r="C12" s="46"/>
      <c r="D12" s="47" t="s">
        <v>134</v>
      </c>
      <c r="E12" s="45"/>
    </row>
    <row r="13" customFormat="false" ht="21" hidden="false" customHeight="true" outlineLevel="0" collapsed="false">
      <c r="B13" s="48" t="s">
        <v>135</v>
      </c>
      <c r="C13" s="49"/>
      <c r="D13" s="50" t="s">
        <v>136</v>
      </c>
      <c r="E13" s="45" t="str">
        <f aca="false">COUNTIF(C13:C14,"✔")&amp;" / 2"</f>
        <v>0 / 2</v>
      </c>
    </row>
    <row r="14" customFormat="false" ht="21" hidden="false" customHeight="true" outlineLevel="0" collapsed="false">
      <c r="B14" s="48"/>
      <c r="C14" s="51"/>
      <c r="D14" s="52" t="s">
        <v>137</v>
      </c>
      <c r="E14" s="45"/>
    </row>
    <row r="15" customFormat="false" ht="21" hidden="false" customHeight="true" outlineLevel="0" collapsed="false">
      <c r="B15" s="42" t="s">
        <v>138</v>
      </c>
      <c r="C15" s="43"/>
      <c r="D15" s="44" t="s">
        <v>139</v>
      </c>
      <c r="E15" s="45" t="str">
        <f aca="false">COUNTIF(C15:C16,"✔")&amp;" / 2"</f>
        <v>0 / 2</v>
      </c>
    </row>
    <row r="16" customFormat="false" ht="21" hidden="false" customHeight="true" outlineLevel="0" collapsed="false">
      <c r="B16" s="42"/>
      <c r="C16" s="46"/>
      <c r="D16" s="47" t="s">
        <v>140</v>
      </c>
      <c r="E16" s="45"/>
    </row>
  </sheetData>
  <mergeCells count="12">
    <mergeCell ref="B2:D2"/>
    <mergeCell ref="B3:E3"/>
    <mergeCell ref="B7:B8"/>
    <mergeCell ref="E7:E8"/>
    <mergeCell ref="B9:B10"/>
    <mergeCell ref="E9:E10"/>
    <mergeCell ref="B11:B12"/>
    <mergeCell ref="E11:E12"/>
    <mergeCell ref="B13:B14"/>
    <mergeCell ref="E13:E14"/>
    <mergeCell ref="B15:B16"/>
    <mergeCell ref="E15:E16"/>
  </mergeCells>
  <conditionalFormatting sqref="E7:E8">
    <cfRule type="expression" priority="2" aboveAverage="0" equalAverage="0" bottom="0" percent="0" rank="0" text="" dxfId="3">
      <formula>COUNTIF($C$7:$C$8,"✔")=2</formula>
    </cfRule>
  </conditionalFormatting>
  <conditionalFormatting sqref="E9:E10">
    <cfRule type="expression" priority="3" aboveAverage="0" equalAverage="0" bottom="0" percent="0" rank="0" text="" dxfId="3">
      <formula>COUNTIF($C$9:$C$10,"✔")=2</formula>
    </cfRule>
  </conditionalFormatting>
  <conditionalFormatting sqref="E11:E12">
    <cfRule type="expression" priority="4" aboveAverage="0" equalAverage="0" bottom="0" percent="0" rank="0" text="" dxfId="3">
      <formula>COUNTIF($C$11:$C$12,"✔")=2</formula>
    </cfRule>
  </conditionalFormatting>
  <conditionalFormatting sqref="E13:E14">
    <cfRule type="expression" priority="5" aboveAverage="0" equalAverage="0" bottom="0" percent="0" rank="0" text="" dxfId="3">
      <formula>COUNTIF($C$13:$C$14,"✔")=2</formula>
    </cfRule>
  </conditionalFormatting>
  <conditionalFormatting sqref="E15:E16">
    <cfRule type="expression" priority="6" aboveAverage="0" equalAverage="0" bottom="0" percent="0" rank="0" text="" dxfId="3">
      <formula>COUNTIF($C$15:$C$16,"✔")=2</formula>
    </cfRule>
  </conditionalFormatting>
  <conditionalFormatting sqref="C7:C16">
    <cfRule type="expression" priority="7" aboveAverage="0" equalAverage="0" bottom="0" percent="0" rank="0" text="" dxfId="4">
      <formula>C7="✔"</formula>
    </cfRule>
  </conditionalFormatting>
  <dataValidations count="1">
    <dataValidation allowBlank="true" errorStyle="stop" operator="between" showDropDown="false" showErrorMessage="false" showInputMessage="false" sqref="C7:C16" type="list">
      <formula1>"✔"</formula1>
      <formula2>0</formula2>
    </dataValidation>
  </dataValidations>
  <hyperlinks>
    <hyperlink ref="B1" location="Dashboard!A1" display="← Dashboard"/>
  </hyperlinks>
  <printOptions headings="false" gridLines="false" gridLinesSet="true" horizontalCentered="false" verticalCentered="false"/>
  <pageMargins left="0.3" right="0.3" top="0.4" bottom="0.4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0C419"/>
    <pageSetUpPr fitToPage="true"/>
  </sheetPr>
  <dimension ref="B1:M36"/>
  <sheetViews>
    <sheetView showFormulas="false" showGridLines="false" showRowColHeaders="true" showZeros="true" rightToLeft="false" tabSelected="false" showOutlineSymbols="true" defaultGridColor="true" view="normal" topLeftCell="A1" colorId="64" zoomScale="110" zoomScaleNormal="110" zoomScalePageLayoutView="100" workbookViewId="0">
      <pane xSplit="1" ySplit="6" topLeftCell="B7" activePane="bottomRight" state="frozen"/>
      <selection pane="topLeft" activeCell="A1" activeCellId="0" sqref="A1"/>
      <selection pane="topRight" activeCell="B1" activeCellId="0" sqref="B1"/>
      <selection pane="bottomLeft" activeCell="A7" activeCellId="0" sqref="A7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3"/>
    <col collapsed="false" customWidth="true" hidden="false" outlineLevel="0" max="2" min="2" style="1" width="27"/>
    <col collapsed="false" customWidth="true" hidden="false" outlineLevel="0" max="3" min="3" style="1" width="6"/>
    <col collapsed="false" customWidth="true" hidden="false" outlineLevel="0" max="4" min="4" style="1" width="95"/>
    <col collapsed="false" customWidth="true" hidden="false" outlineLevel="0" max="5" min="5" style="1" width="16"/>
    <col collapsed="false" customWidth="true" hidden="true" outlineLevel="0" max="13" min="7" style="1" width="13"/>
  </cols>
  <sheetData>
    <row r="1" customFormat="false" ht="15" hidden="false" customHeight="true" outlineLevel="0" collapsed="false">
      <c r="B1" s="33" t="s">
        <v>45</v>
      </c>
      <c r="M1" s="1" t="n">
        <f aca="false">SUM(H7:H12)</f>
        <v>17</v>
      </c>
    </row>
    <row r="2" customFormat="false" ht="39.75" hidden="false" customHeight="true" outlineLevel="0" collapsed="false">
      <c r="B2" s="57" t="s">
        <v>28</v>
      </c>
      <c r="C2" s="57"/>
      <c r="D2" s="57"/>
      <c r="E2" s="35" t="s">
        <v>27</v>
      </c>
      <c r="M2" s="1" t="n">
        <f aca="false">SUM(I7:I12)</f>
        <v>30</v>
      </c>
    </row>
    <row r="3" customFormat="false" ht="31.5" hidden="false" customHeight="true" outlineLevel="0" collapsed="false">
      <c r="B3" s="36" t="s">
        <v>141</v>
      </c>
      <c r="C3" s="36"/>
      <c r="D3" s="36"/>
      <c r="E3" s="36"/>
      <c r="M3" s="1" t="n">
        <f aca="false">SUM(K7:K12)</f>
        <v>2</v>
      </c>
    </row>
    <row r="4" customFormat="false" ht="13.5" hidden="false" customHeight="true" outlineLevel="0" collapsed="false">
      <c r="B4" s="37" t="s">
        <v>12</v>
      </c>
      <c r="C4" s="37" t="s">
        <v>13</v>
      </c>
      <c r="D4" s="37" t="s">
        <v>47</v>
      </c>
      <c r="E4" s="37" t="s">
        <v>48</v>
      </c>
      <c r="M4" s="1" t="n">
        <f aca="false">SUM(J7:J12)</f>
        <v>2</v>
      </c>
    </row>
    <row r="5" customFormat="false" ht="25.5" hidden="false" customHeight="true" outlineLevel="0" collapsed="false">
      <c r="B5" s="38" t="str">
        <f aca="false">IF(M3=0,"Not started",INDEX(G7:G12,M3))</f>
        <v>Bounded</v>
      </c>
      <c r="C5" s="39" t="n">
        <f aca="false">IF(M2=0,0,M1/M2)</f>
        <v>0.566666666666667</v>
      </c>
      <c r="D5" s="38" t="str">
        <f aca="false">M4&amp;" / "&amp;6</f>
        <v>2 / 6</v>
      </c>
      <c r="E5" s="40" t="s">
        <v>142</v>
      </c>
    </row>
    <row r="6" customFormat="false" ht="19.5" hidden="false" customHeight="true" outlineLevel="0" collapsed="false">
      <c r="B6" s="41" t="s">
        <v>50</v>
      </c>
      <c r="C6" s="15" t="s">
        <v>51</v>
      </c>
      <c r="D6" s="41" t="s">
        <v>52</v>
      </c>
      <c r="E6" s="15" t="s">
        <v>53</v>
      </c>
    </row>
    <row r="7" customFormat="false" ht="21" hidden="false" customHeight="true" outlineLevel="0" collapsed="false">
      <c r="B7" s="58" t="s">
        <v>143</v>
      </c>
      <c r="C7" s="59" t="s">
        <v>51</v>
      </c>
      <c r="D7" s="60" t="s">
        <v>144</v>
      </c>
      <c r="E7" s="61" t="str">
        <f aca="false">COUNTIF(C7:C10,"✔")&amp;" / 4"</f>
        <v>4 / 4</v>
      </c>
      <c r="G7" s="1" t="s">
        <v>145</v>
      </c>
      <c r="H7" s="1" t="n">
        <f aca="false">COUNTIF(C7:C10,"✔")</f>
        <v>4</v>
      </c>
      <c r="I7" s="1" t="n">
        <v>4</v>
      </c>
      <c r="J7" s="1" t="n">
        <f aca="false">IF(H7=I7,1,0)</f>
        <v>1</v>
      </c>
      <c r="K7" s="1" t="n">
        <f aca="false">J7</f>
        <v>1</v>
      </c>
    </row>
    <row r="8" customFormat="false" ht="21" hidden="false" customHeight="true" outlineLevel="0" collapsed="false">
      <c r="B8" s="58"/>
      <c r="C8" s="59" t="s">
        <v>51</v>
      </c>
      <c r="D8" s="60" t="s">
        <v>146</v>
      </c>
      <c r="E8" s="61"/>
      <c r="G8" s="1" t="s">
        <v>147</v>
      </c>
      <c r="H8" s="1" t="n">
        <f aca="false">COUNTIF(C11:C19,"✔")</f>
        <v>9</v>
      </c>
      <c r="I8" s="1" t="n">
        <v>9</v>
      </c>
      <c r="J8" s="1" t="n">
        <f aca="false">IF(H8=I8,1,0)</f>
        <v>1</v>
      </c>
      <c r="K8" s="1" t="n">
        <f aca="false">J8*K7</f>
        <v>1</v>
      </c>
    </row>
    <row r="9" customFormat="false" ht="21" hidden="false" customHeight="true" outlineLevel="0" collapsed="false">
      <c r="B9" s="58"/>
      <c r="C9" s="59" t="s">
        <v>51</v>
      </c>
      <c r="D9" s="60" t="s">
        <v>148</v>
      </c>
      <c r="E9" s="61"/>
      <c r="G9" s="1" t="s">
        <v>149</v>
      </c>
      <c r="H9" s="1" t="n">
        <f aca="false">COUNTIF(C20:C26,"✔")</f>
        <v>4</v>
      </c>
      <c r="I9" s="1" t="n">
        <v>7</v>
      </c>
      <c r="J9" s="1" t="n">
        <f aca="false">IF(H9=I9,1,0)</f>
        <v>0</v>
      </c>
      <c r="K9" s="1" t="n">
        <f aca="false">J9*K8</f>
        <v>0</v>
      </c>
    </row>
    <row r="10" customFormat="false" ht="21" hidden="false" customHeight="true" outlineLevel="0" collapsed="false">
      <c r="B10" s="58"/>
      <c r="C10" s="62" t="s">
        <v>51</v>
      </c>
      <c r="D10" s="63" t="s">
        <v>150</v>
      </c>
      <c r="E10" s="61"/>
      <c r="G10" s="1" t="s">
        <v>151</v>
      </c>
      <c r="H10" s="1" t="n">
        <f aca="false">COUNTIF(C27:C30,"✔")</f>
        <v>0</v>
      </c>
      <c r="I10" s="1" t="n">
        <v>4</v>
      </c>
      <c r="J10" s="1" t="n">
        <f aca="false">IF(H10=I10,1,0)</f>
        <v>0</v>
      </c>
      <c r="K10" s="1" t="n">
        <f aca="false">J10*K9</f>
        <v>0</v>
      </c>
    </row>
    <row r="11" customFormat="false" ht="21" hidden="false" customHeight="true" outlineLevel="0" collapsed="false">
      <c r="B11" s="64" t="s">
        <v>152</v>
      </c>
      <c r="C11" s="65" t="s">
        <v>51</v>
      </c>
      <c r="D11" s="66" t="s">
        <v>153</v>
      </c>
      <c r="E11" s="61" t="str">
        <f aca="false">COUNTIF(C11:C19,"✔")&amp;" / 9"</f>
        <v>9 / 9</v>
      </c>
      <c r="G11" s="1" t="s">
        <v>65</v>
      </c>
      <c r="H11" s="1" t="n">
        <f aca="false">COUNTIF(C31:C33,"✔")</f>
        <v>0</v>
      </c>
      <c r="I11" s="1" t="n">
        <v>3</v>
      </c>
      <c r="J11" s="1" t="n">
        <f aca="false">IF(H11=I11,1,0)</f>
        <v>0</v>
      </c>
      <c r="K11" s="1" t="n">
        <f aca="false">J11*K10</f>
        <v>0</v>
      </c>
    </row>
    <row r="12" customFormat="false" ht="21" hidden="false" customHeight="true" outlineLevel="0" collapsed="false">
      <c r="B12" s="64"/>
      <c r="C12" s="65" t="s">
        <v>51</v>
      </c>
      <c r="D12" s="66" t="s">
        <v>154</v>
      </c>
      <c r="E12" s="61"/>
      <c r="G12" s="1" t="s">
        <v>29</v>
      </c>
      <c r="H12" s="1" t="n">
        <f aca="false">COUNTIF(C34:C36,"✔")</f>
        <v>0</v>
      </c>
      <c r="I12" s="1" t="n">
        <v>3</v>
      </c>
      <c r="J12" s="1" t="n">
        <f aca="false">IF(H12=I12,1,0)</f>
        <v>0</v>
      </c>
      <c r="K12" s="1" t="n">
        <f aca="false">J12*K11</f>
        <v>0</v>
      </c>
    </row>
    <row r="13" customFormat="false" ht="21" hidden="false" customHeight="true" outlineLevel="0" collapsed="false">
      <c r="B13" s="64"/>
      <c r="C13" s="65" t="s">
        <v>51</v>
      </c>
      <c r="D13" s="66" t="s">
        <v>155</v>
      </c>
      <c r="E13" s="61"/>
    </row>
    <row r="14" customFormat="false" ht="21" hidden="false" customHeight="true" outlineLevel="0" collapsed="false">
      <c r="B14" s="64"/>
      <c r="C14" s="65" t="s">
        <v>51</v>
      </c>
      <c r="D14" s="66" t="s">
        <v>156</v>
      </c>
      <c r="E14" s="61"/>
    </row>
    <row r="15" customFormat="false" ht="21" hidden="false" customHeight="true" outlineLevel="0" collapsed="false">
      <c r="B15" s="64"/>
      <c r="C15" s="65" t="s">
        <v>51</v>
      </c>
      <c r="D15" s="66" t="s">
        <v>157</v>
      </c>
      <c r="E15" s="61"/>
    </row>
    <row r="16" customFormat="false" ht="21" hidden="false" customHeight="true" outlineLevel="0" collapsed="false">
      <c r="B16" s="64"/>
      <c r="C16" s="65" t="s">
        <v>51</v>
      </c>
      <c r="D16" s="66" t="s">
        <v>158</v>
      </c>
      <c r="E16" s="61"/>
    </row>
    <row r="17" customFormat="false" ht="21" hidden="false" customHeight="true" outlineLevel="0" collapsed="false">
      <c r="B17" s="64"/>
      <c r="C17" s="65" t="s">
        <v>51</v>
      </c>
      <c r="D17" s="66" t="s">
        <v>159</v>
      </c>
      <c r="E17" s="61"/>
    </row>
    <row r="18" customFormat="false" ht="21" hidden="false" customHeight="true" outlineLevel="0" collapsed="false">
      <c r="B18" s="64"/>
      <c r="C18" s="65" t="s">
        <v>51</v>
      </c>
      <c r="D18" s="66" t="s">
        <v>160</v>
      </c>
      <c r="E18" s="61"/>
    </row>
    <row r="19" customFormat="false" ht="21" hidden="false" customHeight="true" outlineLevel="0" collapsed="false">
      <c r="B19" s="64"/>
      <c r="C19" s="67" t="s">
        <v>51</v>
      </c>
      <c r="D19" s="68" t="s">
        <v>161</v>
      </c>
      <c r="E19" s="61"/>
    </row>
    <row r="20" customFormat="false" ht="21" hidden="false" customHeight="true" outlineLevel="0" collapsed="false">
      <c r="B20" s="58" t="s">
        <v>162</v>
      </c>
      <c r="C20" s="59" t="s">
        <v>51</v>
      </c>
      <c r="D20" s="60" t="s">
        <v>163</v>
      </c>
      <c r="E20" s="61" t="str">
        <f aca="false">COUNTIF(C20:C26,"✔")&amp;" / 7"</f>
        <v>4 / 7</v>
      </c>
    </row>
    <row r="21" customFormat="false" ht="21" hidden="false" customHeight="true" outlineLevel="0" collapsed="false">
      <c r="B21" s="58"/>
      <c r="C21" s="59" t="s">
        <v>51</v>
      </c>
      <c r="D21" s="60" t="s">
        <v>164</v>
      </c>
      <c r="E21" s="61"/>
    </row>
    <row r="22" customFormat="false" ht="21" hidden="false" customHeight="true" outlineLevel="0" collapsed="false">
      <c r="B22" s="58"/>
      <c r="C22" s="59" t="s">
        <v>51</v>
      </c>
      <c r="D22" s="60" t="s">
        <v>165</v>
      </c>
      <c r="E22" s="61"/>
    </row>
    <row r="23" customFormat="false" ht="21" hidden="false" customHeight="true" outlineLevel="0" collapsed="false">
      <c r="B23" s="58"/>
      <c r="C23" s="59" t="s">
        <v>51</v>
      </c>
      <c r="D23" s="60" t="s">
        <v>166</v>
      </c>
      <c r="E23" s="61"/>
    </row>
    <row r="24" customFormat="false" ht="21" hidden="false" customHeight="true" outlineLevel="0" collapsed="false">
      <c r="B24" s="58"/>
      <c r="C24" s="59"/>
      <c r="D24" s="60" t="s">
        <v>167</v>
      </c>
      <c r="E24" s="61"/>
    </row>
    <row r="25" customFormat="false" ht="21" hidden="false" customHeight="true" outlineLevel="0" collapsed="false">
      <c r="B25" s="58"/>
      <c r="C25" s="59"/>
      <c r="D25" s="60" t="s">
        <v>168</v>
      </c>
      <c r="E25" s="61"/>
    </row>
    <row r="26" customFormat="false" ht="21" hidden="false" customHeight="true" outlineLevel="0" collapsed="false">
      <c r="B26" s="58"/>
      <c r="C26" s="62"/>
      <c r="D26" s="63" t="s">
        <v>169</v>
      </c>
      <c r="E26" s="61"/>
    </row>
    <row r="27" customFormat="false" ht="21" hidden="false" customHeight="true" outlineLevel="0" collapsed="false">
      <c r="B27" s="64" t="s">
        <v>170</v>
      </c>
      <c r="C27" s="65"/>
      <c r="D27" s="66" t="s">
        <v>171</v>
      </c>
      <c r="E27" s="61" t="str">
        <f aca="false">COUNTIF(C27:C30,"✔")&amp;" / 4"</f>
        <v>0 / 4</v>
      </c>
    </row>
    <row r="28" customFormat="false" ht="21" hidden="false" customHeight="true" outlineLevel="0" collapsed="false">
      <c r="B28" s="64"/>
      <c r="C28" s="65"/>
      <c r="D28" s="66" t="s">
        <v>172</v>
      </c>
      <c r="E28" s="61"/>
    </row>
    <row r="29" customFormat="false" ht="21" hidden="false" customHeight="true" outlineLevel="0" collapsed="false">
      <c r="B29" s="64"/>
      <c r="C29" s="65"/>
      <c r="D29" s="66" t="s">
        <v>173</v>
      </c>
      <c r="E29" s="61"/>
    </row>
    <row r="30" customFormat="false" ht="21" hidden="false" customHeight="true" outlineLevel="0" collapsed="false">
      <c r="B30" s="64"/>
      <c r="C30" s="67"/>
      <c r="D30" s="68" t="s">
        <v>174</v>
      </c>
      <c r="E30" s="61"/>
    </row>
    <row r="31" customFormat="false" ht="21" hidden="false" customHeight="true" outlineLevel="0" collapsed="false">
      <c r="B31" s="58" t="s">
        <v>81</v>
      </c>
      <c r="C31" s="59"/>
      <c r="D31" s="60" t="s">
        <v>175</v>
      </c>
      <c r="E31" s="61" t="str">
        <f aca="false">COUNTIF(C31:C33,"✔")&amp;" / 3"</f>
        <v>0 / 3</v>
      </c>
    </row>
    <row r="32" customFormat="false" ht="21" hidden="false" customHeight="true" outlineLevel="0" collapsed="false">
      <c r="B32" s="58"/>
      <c r="C32" s="59"/>
      <c r="D32" s="60" t="s">
        <v>176</v>
      </c>
      <c r="E32" s="61"/>
    </row>
    <row r="33" customFormat="false" ht="21" hidden="false" customHeight="true" outlineLevel="0" collapsed="false">
      <c r="B33" s="58"/>
      <c r="C33" s="62"/>
      <c r="D33" s="63" t="s">
        <v>177</v>
      </c>
      <c r="E33" s="61"/>
    </row>
    <row r="34" customFormat="false" ht="21" hidden="false" customHeight="true" outlineLevel="0" collapsed="false">
      <c r="B34" s="64" t="s">
        <v>178</v>
      </c>
      <c r="C34" s="65"/>
      <c r="D34" s="66" t="s">
        <v>179</v>
      </c>
      <c r="E34" s="61" t="str">
        <f aca="false">COUNTIF(C34:C36,"✔")&amp;" / 3"</f>
        <v>0 / 3</v>
      </c>
    </row>
    <row r="35" customFormat="false" ht="21" hidden="false" customHeight="true" outlineLevel="0" collapsed="false">
      <c r="B35" s="64"/>
      <c r="C35" s="65"/>
      <c r="D35" s="66" t="s">
        <v>180</v>
      </c>
      <c r="E35" s="61"/>
    </row>
    <row r="36" customFormat="false" ht="21" hidden="false" customHeight="true" outlineLevel="0" collapsed="false">
      <c r="B36" s="64"/>
      <c r="C36" s="67"/>
      <c r="D36" s="68" t="s">
        <v>181</v>
      </c>
      <c r="E36" s="61"/>
    </row>
  </sheetData>
  <mergeCells count="14">
    <mergeCell ref="B2:D2"/>
    <mergeCell ref="B3:E3"/>
    <mergeCell ref="B7:B10"/>
    <mergeCell ref="E7:E10"/>
    <mergeCell ref="B11:B19"/>
    <mergeCell ref="E11:E19"/>
    <mergeCell ref="B20:B26"/>
    <mergeCell ref="E20:E26"/>
    <mergeCell ref="B27:B30"/>
    <mergeCell ref="E27:E30"/>
    <mergeCell ref="B31:B33"/>
    <mergeCell ref="E31:E33"/>
    <mergeCell ref="B34:B36"/>
    <mergeCell ref="E34:E36"/>
  </mergeCells>
  <conditionalFormatting sqref="E7:E10">
    <cfRule type="expression" priority="2" aboveAverage="0" equalAverage="0" bottom="0" percent="0" rank="0" text="" dxfId="3">
      <formula>COUNTIF($C$7:$C$10,"✔")=4</formula>
    </cfRule>
  </conditionalFormatting>
  <conditionalFormatting sqref="E11:E19">
    <cfRule type="expression" priority="3" aboveAverage="0" equalAverage="0" bottom="0" percent="0" rank="0" text="" dxfId="3">
      <formula>COUNTIF($C$11:$C$19,"✔")=9</formula>
    </cfRule>
  </conditionalFormatting>
  <conditionalFormatting sqref="E20:E26">
    <cfRule type="expression" priority="4" aboveAverage="0" equalAverage="0" bottom="0" percent="0" rank="0" text="" dxfId="3">
      <formula>COUNTIF($C$20:$C$26,"✔")=7</formula>
    </cfRule>
  </conditionalFormatting>
  <conditionalFormatting sqref="E27:E30">
    <cfRule type="expression" priority="5" aboveAverage="0" equalAverage="0" bottom="0" percent="0" rank="0" text="" dxfId="3">
      <formula>COUNTIF($C$27:$C$30,"✔")=4</formula>
    </cfRule>
  </conditionalFormatting>
  <conditionalFormatting sqref="E31:E33">
    <cfRule type="expression" priority="6" aboveAverage="0" equalAverage="0" bottom="0" percent="0" rank="0" text="" dxfId="3">
      <formula>COUNTIF($C$31:$C$33,"✔")=3</formula>
    </cfRule>
  </conditionalFormatting>
  <conditionalFormatting sqref="E34:E36">
    <cfRule type="expression" priority="7" aboveAverage="0" equalAverage="0" bottom="0" percent="0" rank="0" text="" dxfId="3">
      <formula>COUNTIF($C$34:$C$36,"✔")=3</formula>
    </cfRule>
  </conditionalFormatting>
  <conditionalFormatting sqref="C7:C36">
    <cfRule type="expression" priority="8" aboveAverage="0" equalAverage="0" bottom="0" percent="0" rank="0" text="" dxfId="4">
      <formula>C7="✔"</formula>
    </cfRule>
  </conditionalFormatting>
  <dataValidations count="1">
    <dataValidation allowBlank="true" errorStyle="stop" operator="between" showDropDown="false" showErrorMessage="false" showInputMessage="false" sqref="C7:C36" type="list">
      <formula1>"✔"</formula1>
      <formula2>0</formula2>
    </dataValidation>
  </dataValidations>
  <hyperlinks>
    <hyperlink ref="B1" location="Dashboard!A1" display="← Dashboard"/>
  </hyperlinks>
  <printOptions headings="false" gridLines="false" gridLinesSet="true" horizontalCentered="false" verticalCentered="false"/>
  <pageMargins left="0.3" right="0.3" top="0.4" bottom="0.4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0C419"/>
    <pageSetUpPr fitToPage="true"/>
  </sheetPr>
  <dimension ref="B1:M37"/>
  <sheetViews>
    <sheetView showFormulas="false" showGridLines="false" showRowColHeaders="true" showZeros="true" rightToLeft="false" tabSelected="false" showOutlineSymbols="true" defaultGridColor="true" view="normal" topLeftCell="A1" colorId="64" zoomScale="110" zoomScaleNormal="110" zoomScalePageLayoutView="100" workbookViewId="0">
      <pane xSplit="1" ySplit="6" topLeftCell="B7" activePane="bottomRight" state="frozen"/>
      <selection pane="topLeft" activeCell="A1" activeCellId="0" sqref="A1"/>
      <selection pane="topRight" activeCell="B1" activeCellId="0" sqref="B1"/>
      <selection pane="bottomLeft" activeCell="A7" activeCellId="0" sqref="A7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3"/>
    <col collapsed="false" customWidth="true" hidden="false" outlineLevel="0" max="2" min="2" style="1" width="27"/>
    <col collapsed="false" customWidth="true" hidden="false" outlineLevel="0" max="3" min="3" style="1" width="6"/>
    <col collapsed="false" customWidth="true" hidden="false" outlineLevel="0" max="4" min="4" style="1" width="95"/>
    <col collapsed="false" customWidth="true" hidden="false" outlineLevel="0" max="5" min="5" style="1" width="16"/>
    <col collapsed="false" customWidth="true" hidden="true" outlineLevel="0" max="13" min="7" style="1" width="13"/>
  </cols>
  <sheetData>
    <row r="1" customFormat="false" ht="15" hidden="false" customHeight="true" outlineLevel="0" collapsed="false">
      <c r="B1" s="33" t="s">
        <v>45</v>
      </c>
      <c r="M1" s="1" t="n">
        <f aca="false">SUM(H7:H12)</f>
        <v>0</v>
      </c>
    </row>
    <row r="2" customFormat="false" ht="39.75" hidden="false" customHeight="true" outlineLevel="0" collapsed="false">
      <c r="B2" s="57" t="s">
        <v>30</v>
      </c>
      <c r="C2" s="57"/>
      <c r="D2" s="57"/>
      <c r="E2" s="35" t="s">
        <v>27</v>
      </c>
      <c r="M2" s="1" t="n">
        <f aca="false">SUM(I7:I12)</f>
        <v>31</v>
      </c>
    </row>
    <row r="3" customFormat="false" ht="31.5" hidden="false" customHeight="true" outlineLevel="0" collapsed="false">
      <c r="B3" s="36" t="s">
        <v>182</v>
      </c>
      <c r="C3" s="36"/>
      <c r="D3" s="36"/>
      <c r="E3" s="36"/>
      <c r="M3" s="1" t="n">
        <f aca="false">SUM(K7:K12)</f>
        <v>0</v>
      </c>
    </row>
    <row r="4" customFormat="false" ht="13.5" hidden="false" customHeight="true" outlineLevel="0" collapsed="false">
      <c r="B4" s="37" t="s">
        <v>12</v>
      </c>
      <c r="C4" s="37" t="s">
        <v>13</v>
      </c>
      <c r="D4" s="37" t="s">
        <v>47</v>
      </c>
      <c r="E4" s="37" t="s">
        <v>48</v>
      </c>
      <c r="M4" s="1" t="n">
        <f aca="false">SUM(J7:J12)</f>
        <v>0</v>
      </c>
    </row>
    <row r="5" customFormat="false" ht="25.5" hidden="false" customHeight="true" outlineLevel="0" collapsed="false">
      <c r="B5" s="38" t="str">
        <f aca="false">IF(M3=0,"Not started",INDEX(G7:G12,M3))</f>
        <v>Not started</v>
      </c>
      <c r="C5" s="39" t="n">
        <f aca="false">IF(M2=0,0,M1/M2)</f>
        <v>0</v>
      </c>
      <c r="D5" s="38" t="str">
        <f aca="false">M4&amp;" / "&amp;6</f>
        <v>0 / 6</v>
      </c>
      <c r="E5" s="40" t="s">
        <v>142</v>
      </c>
    </row>
    <row r="6" customFormat="false" ht="19.5" hidden="false" customHeight="true" outlineLevel="0" collapsed="false">
      <c r="B6" s="41" t="s">
        <v>50</v>
      </c>
      <c r="C6" s="15" t="s">
        <v>51</v>
      </c>
      <c r="D6" s="41" t="s">
        <v>52</v>
      </c>
      <c r="E6" s="15" t="s">
        <v>53</v>
      </c>
    </row>
    <row r="7" customFormat="false" ht="21" hidden="false" customHeight="true" outlineLevel="0" collapsed="false">
      <c r="B7" s="58" t="s">
        <v>183</v>
      </c>
      <c r="C7" s="59"/>
      <c r="D7" s="60" t="s">
        <v>184</v>
      </c>
      <c r="E7" s="61" t="str">
        <f aca="false">COUNTIF(C7:C13,"✔")&amp;" / 7"</f>
        <v>0 / 7</v>
      </c>
      <c r="G7" s="1" t="s">
        <v>185</v>
      </c>
      <c r="H7" s="1" t="n">
        <f aca="false">COUNTIF(C7:C13,"✔")</f>
        <v>0</v>
      </c>
      <c r="I7" s="1" t="n">
        <v>7</v>
      </c>
      <c r="J7" s="1" t="n">
        <f aca="false">IF(H7=I7,1,0)</f>
        <v>0</v>
      </c>
      <c r="K7" s="1" t="n">
        <f aca="false">J7</f>
        <v>0</v>
      </c>
    </row>
    <row r="8" customFormat="false" ht="21" hidden="false" customHeight="true" outlineLevel="0" collapsed="false">
      <c r="B8" s="58"/>
      <c r="C8" s="59"/>
      <c r="D8" s="60" t="s">
        <v>186</v>
      </c>
      <c r="E8" s="61"/>
      <c r="G8" s="1" t="s">
        <v>187</v>
      </c>
      <c r="H8" s="1" t="n">
        <f aca="false">COUNTIF(C14:C19,"✔")</f>
        <v>0</v>
      </c>
      <c r="I8" s="1" t="n">
        <v>6</v>
      </c>
      <c r="J8" s="1" t="n">
        <f aca="false">IF(H8=I8,1,0)</f>
        <v>0</v>
      </c>
      <c r="K8" s="1" t="n">
        <f aca="false">J8*K7</f>
        <v>0</v>
      </c>
    </row>
    <row r="9" customFormat="false" ht="21" hidden="false" customHeight="true" outlineLevel="0" collapsed="false">
      <c r="B9" s="58"/>
      <c r="C9" s="59"/>
      <c r="D9" s="60" t="s">
        <v>188</v>
      </c>
      <c r="E9" s="61"/>
      <c r="G9" s="1" t="s">
        <v>189</v>
      </c>
      <c r="H9" s="1" t="n">
        <f aca="false">COUNTIF(C20:C26,"✔")</f>
        <v>0</v>
      </c>
      <c r="I9" s="1" t="n">
        <v>7</v>
      </c>
      <c r="J9" s="1" t="n">
        <f aca="false">IF(H9=I9,1,0)</f>
        <v>0</v>
      </c>
      <c r="K9" s="1" t="n">
        <f aca="false">J9*K8</f>
        <v>0</v>
      </c>
    </row>
    <row r="10" customFormat="false" ht="21" hidden="false" customHeight="true" outlineLevel="0" collapsed="false">
      <c r="B10" s="58"/>
      <c r="C10" s="59"/>
      <c r="D10" s="60" t="s">
        <v>190</v>
      </c>
      <c r="E10" s="61"/>
      <c r="G10" s="1" t="s">
        <v>191</v>
      </c>
      <c r="H10" s="1" t="n">
        <f aca="false">COUNTIF(C27:C30,"✔")</f>
        <v>0</v>
      </c>
      <c r="I10" s="1" t="n">
        <v>4</v>
      </c>
      <c r="J10" s="1" t="n">
        <f aca="false">IF(H10=I10,1,0)</f>
        <v>0</v>
      </c>
      <c r="K10" s="1" t="n">
        <f aca="false">J10*K9</f>
        <v>0</v>
      </c>
    </row>
    <row r="11" customFormat="false" ht="21" hidden="false" customHeight="true" outlineLevel="0" collapsed="false">
      <c r="B11" s="58"/>
      <c r="C11" s="59"/>
      <c r="D11" s="60" t="s">
        <v>192</v>
      </c>
      <c r="E11" s="61"/>
      <c r="G11" s="1" t="s">
        <v>31</v>
      </c>
      <c r="H11" s="1" t="n">
        <f aca="false">COUNTIF(C31:C33,"✔")</f>
        <v>0</v>
      </c>
      <c r="I11" s="1" t="n">
        <v>3</v>
      </c>
      <c r="J11" s="1" t="n">
        <f aca="false">IF(H11=I11,1,0)</f>
        <v>0</v>
      </c>
      <c r="K11" s="1" t="n">
        <f aca="false">J11*K10</f>
        <v>0</v>
      </c>
    </row>
    <row r="12" customFormat="false" ht="21" hidden="false" customHeight="true" outlineLevel="0" collapsed="false">
      <c r="B12" s="58"/>
      <c r="C12" s="59"/>
      <c r="D12" s="60" t="s">
        <v>193</v>
      </c>
      <c r="E12" s="61"/>
      <c r="G12" s="1" t="s">
        <v>194</v>
      </c>
      <c r="H12" s="1" t="n">
        <f aca="false">COUNTIF(C34:C37,"✔")</f>
        <v>0</v>
      </c>
      <c r="I12" s="1" t="n">
        <v>4</v>
      </c>
      <c r="J12" s="1" t="n">
        <f aca="false">IF(H12=I12,1,0)</f>
        <v>0</v>
      </c>
      <c r="K12" s="1" t="n">
        <f aca="false">J12*K11</f>
        <v>0</v>
      </c>
    </row>
    <row r="13" customFormat="false" ht="21" hidden="false" customHeight="true" outlineLevel="0" collapsed="false">
      <c r="B13" s="58"/>
      <c r="C13" s="62"/>
      <c r="D13" s="63" t="s">
        <v>195</v>
      </c>
      <c r="E13" s="61"/>
    </row>
    <row r="14" customFormat="false" ht="21" hidden="false" customHeight="true" outlineLevel="0" collapsed="false">
      <c r="B14" s="64" t="s">
        <v>196</v>
      </c>
      <c r="C14" s="65"/>
      <c r="D14" s="66" t="s">
        <v>197</v>
      </c>
      <c r="E14" s="61" t="str">
        <f aca="false">COUNTIF(C14:C19,"✔")&amp;" / 6"</f>
        <v>0 / 6</v>
      </c>
    </row>
    <row r="15" customFormat="false" ht="21" hidden="false" customHeight="true" outlineLevel="0" collapsed="false">
      <c r="B15" s="64"/>
      <c r="C15" s="65"/>
      <c r="D15" s="66" t="s">
        <v>198</v>
      </c>
      <c r="E15" s="61"/>
    </row>
    <row r="16" customFormat="false" ht="21" hidden="false" customHeight="true" outlineLevel="0" collapsed="false">
      <c r="B16" s="64"/>
      <c r="C16" s="65"/>
      <c r="D16" s="66" t="s">
        <v>199</v>
      </c>
      <c r="E16" s="61"/>
    </row>
    <row r="17" customFormat="false" ht="21" hidden="false" customHeight="true" outlineLevel="0" collapsed="false">
      <c r="B17" s="64"/>
      <c r="C17" s="65"/>
      <c r="D17" s="66" t="s">
        <v>200</v>
      </c>
      <c r="E17" s="61"/>
    </row>
    <row r="18" customFormat="false" ht="21" hidden="false" customHeight="true" outlineLevel="0" collapsed="false">
      <c r="B18" s="64"/>
      <c r="C18" s="65"/>
      <c r="D18" s="66" t="s">
        <v>201</v>
      </c>
      <c r="E18" s="61"/>
    </row>
    <row r="19" customFormat="false" ht="21" hidden="false" customHeight="true" outlineLevel="0" collapsed="false">
      <c r="B19" s="64"/>
      <c r="C19" s="67"/>
      <c r="D19" s="68" t="s">
        <v>202</v>
      </c>
      <c r="E19" s="61"/>
    </row>
    <row r="20" customFormat="false" ht="21" hidden="false" customHeight="true" outlineLevel="0" collapsed="false">
      <c r="B20" s="58" t="s">
        <v>203</v>
      </c>
      <c r="C20" s="59"/>
      <c r="D20" s="60" t="s">
        <v>204</v>
      </c>
      <c r="E20" s="61" t="str">
        <f aca="false">COUNTIF(C20:C26,"✔")&amp;" / 7"</f>
        <v>0 / 7</v>
      </c>
    </row>
    <row r="21" customFormat="false" ht="21" hidden="false" customHeight="true" outlineLevel="0" collapsed="false">
      <c r="B21" s="58"/>
      <c r="C21" s="59"/>
      <c r="D21" s="60" t="s">
        <v>205</v>
      </c>
      <c r="E21" s="61"/>
    </row>
    <row r="22" customFormat="false" ht="21" hidden="false" customHeight="true" outlineLevel="0" collapsed="false">
      <c r="B22" s="58"/>
      <c r="C22" s="59"/>
      <c r="D22" s="60" t="s">
        <v>206</v>
      </c>
      <c r="E22" s="61"/>
    </row>
    <row r="23" customFormat="false" ht="21" hidden="false" customHeight="true" outlineLevel="0" collapsed="false">
      <c r="B23" s="58"/>
      <c r="C23" s="59"/>
      <c r="D23" s="60" t="s">
        <v>207</v>
      </c>
      <c r="E23" s="61"/>
    </row>
    <row r="24" customFormat="false" ht="21" hidden="false" customHeight="true" outlineLevel="0" collapsed="false">
      <c r="B24" s="58"/>
      <c r="C24" s="59"/>
      <c r="D24" s="60" t="s">
        <v>208</v>
      </c>
      <c r="E24" s="61"/>
    </row>
    <row r="25" customFormat="false" ht="21" hidden="false" customHeight="true" outlineLevel="0" collapsed="false">
      <c r="B25" s="58"/>
      <c r="C25" s="59"/>
      <c r="D25" s="60" t="s">
        <v>209</v>
      </c>
      <c r="E25" s="61"/>
    </row>
    <row r="26" customFormat="false" ht="21" hidden="false" customHeight="true" outlineLevel="0" collapsed="false">
      <c r="B26" s="58"/>
      <c r="C26" s="62"/>
      <c r="D26" s="63" t="s">
        <v>210</v>
      </c>
      <c r="E26" s="61"/>
    </row>
    <row r="27" customFormat="false" ht="21" hidden="false" customHeight="true" outlineLevel="0" collapsed="false">
      <c r="B27" s="64" t="s">
        <v>211</v>
      </c>
      <c r="C27" s="65"/>
      <c r="D27" s="66" t="s">
        <v>212</v>
      </c>
      <c r="E27" s="61" t="str">
        <f aca="false">COUNTIF(C27:C30,"✔")&amp;" / 4"</f>
        <v>0 / 4</v>
      </c>
    </row>
    <row r="28" customFormat="false" ht="21" hidden="false" customHeight="true" outlineLevel="0" collapsed="false">
      <c r="B28" s="64"/>
      <c r="C28" s="65"/>
      <c r="D28" s="66" t="s">
        <v>213</v>
      </c>
      <c r="E28" s="61"/>
    </row>
    <row r="29" customFormat="false" ht="21" hidden="false" customHeight="true" outlineLevel="0" collapsed="false">
      <c r="B29" s="64"/>
      <c r="C29" s="65"/>
      <c r="D29" s="66" t="s">
        <v>214</v>
      </c>
      <c r="E29" s="61"/>
    </row>
    <row r="30" customFormat="false" ht="21" hidden="false" customHeight="true" outlineLevel="0" collapsed="false">
      <c r="B30" s="64"/>
      <c r="C30" s="67"/>
      <c r="D30" s="68" t="s">
        <v>215</v>
      </c>
      <c r="E30" s="61"/>
    </row>
    <row r="31" customFormat="false" ht="21" hidden="false" customHeight="true" outlineLevel="0" collapsed="false">
      <c r="B31" s="58" t="s">
        <v>216</v>
      </c>
      <c r="C31" s="59"/>
      <c r="D31" s="60" t="s">
        <v>217</v>
      </c>
      <c r="E31" s="61" t="str">
        <f aca="false">COUNTIF(C31:C33,"✔")&amp;" / 3"</f>
        <v>0 / 3</v>
      </c>
    </row>
    <row r="32" customFormat="false" ht="21" hidden="false" customHeight="true" outlineLevel="0" collapsed="false">
      <c r="B32" s="58"/>
      <c r="C32" s="59"/>
      <c r="D32" s="60" t="s">
        <v>218</v>
      </c>
      <c r="E32" s="61"/>
    </row>
    <row r="33" customFormat="false" ht="21" hidden="false" customHeight="true" outlineLevel="0" collapsed="false">
      <c r="B33" s="58"/>
      <c r="C33" s="62"/>
      <c r="D33" s="63" t="s">
        <v>219</v>
      </c>
      <c r="E33" s="61"/>
    </row>
    <row r="34" customFormat="false" ht="21" hidden="false" customHeight="true" outlineLevel="0" collapsed="false">
      <c r="B34" s="64" t="s">
        <v>220</v>
      </c>
      <c r="C34" s="65"/>
      <c r="D34" s="66" t="s">
        <v>221</v>
      </c>
      <c r="E34" s="61" t="str">
        <f aca="false">COUNTIF(C34:C37,"✔")&amp;" / 4"</f>
        <v>0 / 4</v>
      </c>
    </row>
    <row r="35" customFormat="false" ht="21" hidden="false" customHeight="true" outlineLevel="0" collapsed="false">
      <c r="B35" s="64"/>
      <c r="C35" s="65"/>
      <c r="D35" s="66" t="s">
        <v>222</v>
      </c>
      <c r="E35" s="61"/>
    </row>
    <row r="36" customFormat="false" ht="21" hidden="false" customHeight="true" outlineLevel="0" collapsed="false">
      <c r="B36" s="64"/>
      <c r="C36" s="65"/>
      <c r="D36" s="66" t="s">
        <v>223</v>
      </c>
      <c r="E36" s="61"/>
    </row>
    <row r="37" customFormat="false" ht="21" hidden="false" customHeight="true" outlineLevel="0" collapsed="false">
      <c r="B37" s="64"/>
      <c r="C37" s="67"/>
      <c r="D37" s="68" t="s">
        <v>224</v>
      </c>
      <c r="E37" s="61"/>
    </row>
  </sheetData>
  <mergeCells count="14">
    <mergeCell ref="B2:D2"/>
    <mergeCell ref="B3:E3"/>
    <mergeCell ref="B7:B13"/>
    <mergeCell ref="E7:E13"/>
    <mergeCell ref="B14:B19"/>
    <mergeCell ref="E14:E19"/>
    <mergeCell ref="B20:B26"/>
    <mergeCell ref="E20:E26"/>
    <mergeCell ref="B27:B30"/>
    <mergeCell ref="E27:E30"/>
    <mergeCell ref="B31:B33"/>
    <mergeCell ref="E31:E33"/>
    <mergeCell ref="B34:B37"/>
    <mergeCell ref="E34:E37"/>
  </mergeCells>
  <conditionalFormatting sqref="E7:E10">
    <cfRule type="expression" priority="2" aboveAverage="0" equalAverage="0" bottom="0" percent="0" rank="0" text="" dxfId="3">
      <formula>COUNTIF($C$7:$C$10,"✔")=4</formula>
    </cfRule>
  </conditionalFormatting>
  <conditionalFormatting sqref="E11:E14">
    <cfRule type="expression" priority="3" aboveAverage="0" equalAverage="0" bottom="0" percent="0" rank="0" text="" dxfId="3">
      <formula>COUNTIF($C$11:$C$14,"✔")=4</formula>
    </cfRule>
  </conditionalFormatting>
  <conditionalFormatting sqref="E15:E18">
    <cfRule type="expression" priority="4" aboveAverage="0" equalAverage="0" bottom="0" percent="0" rank="0" text="" dxfId="3">
      <formula>COUNTIF($C$15:$C$18,"✔")=4</formula>
    </cfRule>
  </conditionalFormatting>
  <conditionalFormatting sqref="E19:E22">
    <cfRule type="expression" priority="5" aboveAverage="0" equalAverage="0" bottom="0" percent="0" rank="0" text="" dxfId="3">
      <formula>COUNTIF($C$19:$C$22,"✔")=4</formula>
    </cfRule>
  </conditionalFormatting>
  <conditionalFormatting sqref="E23:E25">
    <cfRule type="expression" priority="6" aboveAverage="0" equalAverage="0" bottom="0" percent="0" rank="0" text="" dxfId="3">
      <formula>COUNTIF($C$23:$C$25,"✔")=3</formula>
    </cfRule>
  </conditionalFormatting>
  <conditionalFormatting sqref="E26:E27">
    <cfRule type="expression" priority="7" aboveAverage="0" equalAverage="0" bottom="0" percent="0" rank="0" text="" dxfId="3">
      <formula>COUNTIF($C$26:$C$27,"✔")=2</formula>
    </cfRule>
  </conditionalFormatting>
  <conditionalFormatting sqref="C7:C27">
    <cfRule type="expression" priority="8" aboveAverage="0" equalAverage="0" bottom="0" percent="0" rank="0" text="" dxfId="4">
      <formula>C7="✔"</formula>
    </cfRule>
  </conditionalFormatting>
  <dataValidations count="1">
    <dataValidation allowBlank="true" errorStyle="stop" operator="between" showDropDown="false" showErrorMessage="false" showInputMessage="false" sqref="C7:C27" type="list">
      <formula1>"✔"</formula1>
      <formula2>0</formula2>
    </dataValidation>
  </dataValidations>
  <hyperlinks>
    <hyperlink ref="B1" location="Dashboard!A1" display="← Dashboard"/>
  </hyperlinks>
  <printOptions headings="false" gridLines="false" gridLinesSet="true" horizontalCentered="false" verticalCentered="false"/>
  <pageMargins left="0.3" right="0.3" top="0.4" bottom="0.4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557A7"/>
    <pageSetUpPr fitToPage="true"/>
  </sheetPr>
  <dimension ref="B1:M25"/>
  <sheetViews>
    <sheetView showFormulas="false" showGridLines="false" showRowColHeaders="true" showZeros="true" rightToLeft="false" tabSelected="false" showOutlineSymbols="true" defaultGridColor="true" view="normal" topLeftCell="A1" colorId="64" zoomScale="110" zoomScaleNormal="110" zoomScalePageLayoutView="100" workbookViewId="0">
      <pane xSplit="1" ySplit="6" topLeftCell="B7" activePane="bottomRight" state="frozen"/>
      <selection pane="topLeft" activeCell="A1" activeCellId="0" sqref="A1"/>
      <selection pane="topRight" activeCell="B1" activeCellId="0" sqref="B1"/>
      <selection pane="bottomLeft" activeCell="A7" activeCellId="0" sqref="A7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3"/>
    <col collapsed="false" customWidth="true" hidden="false" outlineLevel="0" max="2" min="2" style="1" width="27"/>
    <col collapsed="false" customWidth="true" hidden="false" outlineLevel="0" max="3" min="3" style="1" width="6"/>
    <col collapsed="false" customWidth="true" hidden="false" outlineLevel="0" max="4" min="4" style="1" width="95"/>
    <col collapsed="false" customWidth="true" hidden="false" outlineLevel="0" max="5" min="5" style="1" width="16"/>
    <col collapsed="false" customWidth="true" hidden="true" outlineLevel="0" max="13" min="7" style="1" width="13"/>
  </cols>
  <sheetData>
    <row r="1" customFormat="false" ht="15" hidden="false" customHeight="true" outlineLevel="0" collapsed="false">
      <c r="B1" s="33" t="s">
        <v>45</v>
      </c>
      <c r="M1" s="1" t="n">
        <f aca="false">SUM(H7:H12)</f>
        <v>11</v>
      </c>
    </row>
    <row r="2" customFormat="false" ht="39.75" hidden="false" customHeight="true" outlineLevel="0" collapsed="false">
      <c r="B2" s="69" t="s">
        <v>33</v>
      </c>
      <c r="C2" s="69"/>
      <c r="D2" s="69"/>
      <c r="E2" s="35" t="s">
        <v>27</v>
      </c>
      <c r="M2" s="1" t="n">
        <f aca="false">SUM(I7:I12)</f>
        <v>19</v>
      </c>
    </row>
    <row r="3" customFormat="false" ht="31.5" hidden="false" customHeight="true" outlineLevel="0" collapsed="false">
      <c r="B3" s="36" t="s">
        <v>225</v>
      </c>
      <c r="C3" s="36"/>
      <c r="D3" s="36"/>
      <c r="E3" s="36"/>
      <c r="M3" s="1" t="n">
        <f aca="false">SUM(K7:K12)</f>
        <v>2</v>
      </c>
    </row>
    <row r="4" customFormat="false" ht="13.5" hidden="false" customHeight="true" outlineLevel="0" collapsed="false">
      <c r="B4" s="37" t="s">
        <v>12</v>
      </c>
      <c r="C4" s="37" t="s">
        <v>13</v>
      </c>
      <c r="D4" s="37" t="s">
        <v>47</v>
      </c>
      <c r="E4" s="37" t="s">
        <v>48</v>
      </c>
      <c r="M4" s="1" t="n">
        <f aca="false">SUM(J7:J12)</f>
        <v>2</v>
      </c>
    </row>
    <row r="5" customFormat="false" ht="25.5" hidden="false" customHeight="true" outlineLevel="0" collapsed="false">
      <c r="B5" s="38" t="str">
        <f aca="false">IF(M3=0,"Not started",INDEX(G7:G12,M3))</f>
        <v>Prepared</v>
      </c>
      <c r="C5" s="39" t="n">
        <f aca="false">IF(M2=0,0,M1/M2)</f>
        <v>0.578947368421053</v>
      </c>
      <c r="D5" s="38" t="str">
        <f aca="false">M4&amp;" / "&amp;6</f>
        <v>2 / 6</v>
      </c>
      <c r="E5" s="40" t="s">
        <v>226</v>
      </c>
    </row>
    <row r="6" customFormat="false" ht="19.5" hidden="false" customHeight="true" outlineLevel="0" collapsed="false">
      <c r="B6" s="41" t="s">
        <v>50</v>
      </c>
      <c r="C6" s="15" t="s">
        <v>51</v>
      </c>
      <c r="D6" s="41" t="s">
        <v>52</v>
      </c>
      <c r="E6" s="15" t="s">
        <v>53</v>
      </c>
    </row>
    <row r="7" customFormat="false" ht="21" hidden="false" customHeight="true" outlineLevel="0" collapsed="false">
      <c r="B7" s="70" t="s">
        <v>227</v>
      </c>
      <c r="C7" s="71" t="s">
        <v>51</v>
      </c>
      <c r="D7" s="72" t="s">
        <v>228</v>
      </c>
      <c r="E7" s="73" t="str">
        <f aca="false">COUNTIF(C7:C10,"✔")&amp;" / 4"</f>
        <v>4 / 4</v>
      </c>
      <c r="G7" s="1" t="s">
        <v>229</v>
      </c>
      <c r="H7" s="1" t="n">
        <f aca="false">COUNTIF(C7:C10,"✔")</f>
        <v>4</v>
      </c>
      <c r="I7" s="1" t="n">
        <v>4</v>
      </c>
      <c r="J7" s="1" t="n">
        <f aca="false">IF(H7=I7,1,0)</f>
        <v>1</v>
      </c>
      <c r="K7" s="1" t="n">
        <f aca="false">J7</f>
        <v>1</v>
      </c>
    </row>
    <row r="8" customFormat="false" ht="21" hidden="false" customHeight="true" outlineLevel="0" collapsed="false">
      <c r="B8" s="70"/>
      <c r="C8" s="71" t="s">
        <v>51</v>
      </c>
      <c r="D8" s="72" t="s">
        <v>230</v>
      </c>
      <c r="E8" s="73"/>
      <c r="G8" s="1" t="s">
        <v>231</v>
      </c>
      <c r="H8" s="1" t="n">
        <f aca="false">COUNTIF(C11:C15,"✔")</f>
        <v>5</v>
      </c>
      <c r="I8" s="1" t="n">
        <v>5</v>
      </c>
      <c r="J8" s="1" t="n">
        <f aca="false">IF(H8=I8,1,0)</f>
        <v>1</v>
      </c>
      <c r="K8" s="1" t="n">
        <f aca="false">J8*K7</f>
        <v>1</v>
      </c>
    </row>
    <row r="9" customFormat="false" ht="21" hidden="false" customHeight="true" outlineLevel="0" collapsed="false">
      <c r="B9" s="70"/>
      <c r="C9" s="71" t="s">
        <v>51</v>
      </c>
      <c r="D9" s="72" t="s">
        <v>232</v>
      </c>
      <c r="E9" s="73"/>
      <c r="G9" s="1" t="s">
        <v>233</v>
      </c>
      <c r="H9" s="1" t="n">
        <f aca="false">COUNTIF(C16:C18,"✔")</f>
        <v>2</v>
      </c>
      <c r="I9" s="1" t="n">
        <v>3</v>
      </c>
      <c r="J9" s="1" t="n">
        <f aca="false">IF(H9=I9,1,0)</f>
        <v>0</v>
      </c>
      <c r="K9" s="1" t="n">
        <f aca="false">J9*K8</f>
        <v>0</v>
      </c>
    </row>
    <row r="10" customFormat="false" ht="21" hidden="false" customHeight="true" outlineLevel="0" collapsed="false">
      <c r="B10" s="70"/>
      <c r="C10" s="74" t="s">
        <v>51</v>
      </c>
      <c r="D10" s="75" t="s">
        <v>234</v>
      </c>
      <c r="E10" s="73"/>
      <c r="G10" s="1" t="s">
        <v>235</v>
      </c>
      <c r="H10" s="1" t="n">
        <f aca="false">COUNTIF(C19:C21,"✔")</f>
        <v>0</v>
      </c>
      <c r="I10" s="1" t="n">
        <v>3</v>
      </c>
      <c r="J10" s="1" t="n">
        <f aca="false">IF(H10=I10,1,0)</f>
        <v>0</v>
      </c>
      <c r="K10" s="1" t="n">
        <f aca="false">J10*K9</f>
        <v>0</v>
      </c>
    </row>
    <row r="11" customFormat="false" ht="21" hidden="false" customHeight="true" outlineLevel="0" collapsed="false">
      <c r="B11" s="76" t="s">
        <v>236</v>
      </c>
      <c r="C11" s="77" t="s">
        <v>51</v>
      </c>
      <c r="D11" s="78" t="s">
        <v>237</v>
      </c>
      <c r="E11" s="73" t="str">
        <f aca="false">COUNTIF(C11:C15,"✔")&amp;" / 5"</f>
        <v>5 / 5</v>
      </c>
      <c r="G11" s="1" t="s">
        <v>238</v>
      </c>
      <c r="H11" s="1" t="n">
        <f aca="false">COUNTIF(C22:C23,"✔")</f>
        <v>0</v>
      </c>
      <c r="I11" s="1" t="n">
        <v>2</v>
      </c>
      <c r="J11" s="1" t="n">
        <f aca="false">IF(H11=I11,1,0)</f>
        <v>0</v>
      </c>
      <c r="K11" s="1" t="n">
        <f aca="false">J11*K10</f>
        <v>0</v>
      </c>
    </row>
    <row r="12" customFormat="false" ht="21" hidden="false" customHeight="true" outlineLevel="0" collapsed="false">
      <c r="B12" s="76"/>
      <c r="C12" s="77" t="s">
        <v>51</v>
      </c>
      <c r="D12" s="78" t="s">
        <v>239</v>
      </c>
      <c r="E12" s="73"/>
      <c r="G12" s="1" t="s">
        <v>34</v>
      </c>
      <c r="H12" s="1" t="n">
        <f aca="false">COUNTIF(C24:C25,"✔")</f>
        <v>0</v>
      </c>
      <c r="I12" s="1" t="n">
        <v>2</v>
      </c>
      <c r="J12" s="1" t="n">
        <f aca="false">IF(H12=I12,1,0)</f>
        <v>0</v>
      </c>
      <c r="K12" s="1" t="n">
        <f aca="false">J12*K11</f>
        <v>0</v>
      </c>
    </row>
    <row r="13" customFormat="false" ht="21" hidden="false" customHeight="true" outlineLevel="0" collapsed="false">
      <c r="B13" s="76"/>
      <c r="C13" s="77" t="s">
        <v>51</v>
      </c>
      <c r="D13" s="78" t="s">
        <v>240</v>
      </c>
      <c r="E13" s="73"/>
    </row>
    <row r="14" customFormat="false" ht="21" hidden="false" customHeight="true" outlineLevel="0" collapsed="false">
      <c r="B14" s="76"/>
      <c r="C14" s="77" t="s">
        <v>51</v>
      </c>
      <c r="D14" s="78" t="s">
        <v>241</v>
      </c>
      <c r="E14" s="73"/>
    </row>
    <row r="15" customFormat="false" ht="21" hidden="false" customHeight="true" outlineLevel="0" collapsed="false">
      <c r="B15" s="76"/>
      <c r="C15" s="79" t="s">
        <v>51</v>
      </c>
      <c r="D15" s="80" t="s">
        <v>242</v>
      </c>
      <c r="E15" s="73"/>
    </row>
    <row r="16" customFormat="false" ht="21" hidden="false" customHeight="true" outlineLevel="0" collapsed="false">
      <c r="B16" s="70" t="s">
        <v>243</v>
      </c>
      <c r="C16" s="71" t="s">
        <v>51</v>
      </c>
      <c r="D16" s="72" t="s">
        <v>244</v>
      </c>
      <c r="E16" s="73" t="str">
        <f aca="false">COUNTIF(C16:C18,"✔")&amp;" / 3"</f>
        <v>2 / 3</v>
      </c>
    </row>
    <row r="17" customFormat="false" ht="21" hidden="false" customHeight="true" outlineLevel="0" collapsed="false">
      <c r="B17" s="70"/>
      <c r="C17" s="71" t="s">
        <v>51</v>
      </c>
      <c r="D17" s="72" t="s">
        <v>245</v>
      </c>
      <c r="E17" s="73"/>
    </row>
    <row r="18" customFormat="false" ht="21" hidden="false" customHeight="true" outlineLevel="0" collapsed="false">
      <c r="B18" s="70"/>
      <c r="C18" s="74"/>
      <c r="D18" s="75" t="s">
        <v>246</v>
      </c>
      <c r="E18" s="73"/>
    </row>
    <row r="19" customFormat="false" ht="21" hidden="false" customHeight="true" outlineLevel="0" collapsed="false">
      <c r="B19" s="76" t="s">
        <v>247</v>
      </c>
      <c r="C19" s="77"/>
      <c r="D19" s="78" t="s">
        <v>248</v>
      </c>
      <c r="E19" s="73" t="str">
        <f aca="false">COUNTIF(C19:C21,"✔")&amp;" / 3"</f>
        <v>0 / 3</v>
      </c>
    </row>
    <row r="20" customFormat="false" ht="21" hidden="false" customHeight="true" outlineLevel="0" collapsed="false">
      <c r="B20" s="76"/>
      <c r="C20" s="77"/>
      <c r="D20" s="78" t="s">
        <v>249</v>
      </c>
      <c r="E20" s="73"/>
    </row>
    <row r="21" customFormat="false" ht="21" hidden="false" customHeight="true" outlineLevel="0" collapsed="false">
      <c r="B21" s="76"/>
      <c r="C21" s="79"/>
      <c r="D21" s="80" t="s">
        <v>250</v>
      </c>
      <c r="E21" s="73"/>
    </row>
    <row r="22" customFormat="false" ht="21" hidden="false" customHeight="true" outlineLevel="0" collapsed="false">
      <c r="B22" s="70" t="s">
        <v>251</v>
      </c>
      <c r="C22" s="71"/>
      <c r="D22" s="72" t="s">
        <v>252</v>
      </c>
      <c r="E22" s="73" t="str">
        <f aca="false">COUNTIF(C22:C23,"✔")&amp;" / 2"</f>
        <v>0 / 2</v>
      </c>
    </row>
    <row r="23" customFormat="false" ht="21" hidden="false" customHeight="true" outlineLevel="0" collapsed="false">
      <c r="B23" s="70"/>
      <c r="C23" s="74"/>
      <c r="D23" s="75" t="s">
        <v>253</v>
      </c>
      <c r="E23" s="73"/>
    </row>
    <row r="24" customFormat="false" ht="21" hidden="false" customHeight="true" outlineLevel="0" collapsed="false">
      <c r="B24" s="76" t="s">
        <v>254</v>
      </c>
      <c r="C24" s="77"/>
      <c r="D24" s="78" t="s">
        <v>255</v>
      </c>
      <c r="E24" s="73" t="str">
        <f aca="false">COUNTIF(C24:C25,"✔")&amp;" / 2"</f>
        <v>0 / 2</v>
      </c>
    </row>
    <row r="25" customFormat="false" ht="21" hidden="false" customHeight="true" outlineLevel="0" collapsed="false">
      <c r="B25" s="76"/>
      <c r="C25" s="79"/>
      <c r="D25" s="80" t="s">
        <v>256</v>
      </c>
      <c r="E25" s="73"/>
    </row>
  </sheetData>
  <mergeCells count="14">
    <mergeCell ref="B2:D2"/>
    <mergeCell ref="B3:E3"/>
    <mergeCell ref="B7:B10"/>
    <mergeCell ref="E7:E10"/>
    <mergeCell ref="B11:B15"/>
    <mergeCell ref="E11:E15"/>
    <mergeCell ref="B16:B18"/>
    <mergeCell ref="E16:E18"/>
    <mergeCell ref="B19:B21"/>
    <mergeCell ref="E19:E21"/>
    <mergeCell ref="B22:B23"/>
    <mergeCell ref="E22:E23"/>
    <mergeCell ref="B24:B25"/>
    <mergeCell ref="E24:E25"/>
  </mergeCells>
  <conditionalFormatting sqref="E7:E10">
    <cfRule type="expression" priority="2" aboveAverage="0" equalAverage="0" bottom="0" percent="0" rank="0" text="" dxfId="3">
      <formula>COUNTIF($C$7:$C$10,"✔")=4</formula>
    </cfRule>
  </conditionalFormatting>
  <conditionalFormatting sqref="E11:E15">
    <cfRule type="expression" priority="3" aboveAverage="0" equalAverage="0" bottom="0" percent="0" rank="0" text="" dxfId="3">
      <formula>COUNTIF($C$11:$C$15,"✔")=5</formula>
    </cfRule>
  </conditionalFormatting>
  <conditionalFormatting sqref="E16:E18">
    <cfRule type="expression" priority="4" aboveAverage="0" equalAverage="0" bottom="0" percent="0" rank="0" text="" dxfId="3">
      <formula>COUNTIF($C$16:$C$18,"✔")=3</formula>
    </cfRule>
  </conditionalFormatting>
  <conditionalFormatting sqref="E19:E21">
    <cfRule type="expression" priority="5" aboveAverage="0" equalAverage="0" bottom="0" percent="0" rank="0" text="" dxfId="3">
      <formula>COUNTIF($C$19:$C$21,"✔")=3</formula>
    </cfRule>
  </conditionalFormatting>
  <conditionalFormatting sqref="E22:E23">
    <cfRule type="expression" priority="6" aboveAverage="0" equalAverage="0" bottom="0" percent="0" rank="0" text="" dxfId="3">
      <formula>COUNTIF($C$22:$C$23,"✔")=2</formula>
    </cfRule>
  </conditionalFormatting>
  <conditionalFormatting sqref="E24:E25">
    <cfRule type="expression" priority="7" aboveAverage="0" equalAverage="0" bottom="0" percent="0" rank="0" text="" dxfId="3">
      <formula>COUNTIF($C$24:$C$25,"✔")=2</formula>
    </cfRule>
  </conditionalFormatting>
  <conditionalFormatting sqref="C7:C25">
    <cfRule type="expression" priority="8" aboveAverage="0" equalAverage="0" bottom="0" percent="0" rank="0" text="" dxfId="4">
      <formula>C7="✔"</formula>
    </cfRule>
  </conditionalFormatting>
  <dataValidations count="1">
    <dataValidation allowBlank="true" errorStyle="stop" operator="between" showDropDown="false" showErrorMessage="false" showInputMessage="false" sqref="C7:C25" type="list">
      <formula1>"✔"</formula1>
      <formula2>0</formula2>
    </dataValidation>
  </dataValidations>
  <hyperlinks>
    <hyperlink ref="B1" location="Dashboard!A1" display="← Dashboard"/>
  </hyperlinks>
  <printOptions headings="false" gridLines="false" gridLinesSet="true" horizontalCentered="false" verticalCentered="false"/>
  <pageMargins left="0.3" right="0.3" top="0.4" bottom="0.4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557A7"/>
    <pageSetUpPr fitToPage="true"/>
  </sheetPr>
  <dimension ref="B1:M23"/>
  <sheetViews>
    <sheetView showFormulas="false" showGridLines="false" showRowColHeaders="true" showZeros="true" rightToLeft="false" tabSelected="false" showOutlineSymbols="true" defaultGridColor="true" view="normal" topLeftCell="A1" colorId="64" zoomScale="110" zoomScaleNormal="110" zoomScalePageLayoutView="100" workbookViewId="0">
      <pane xSplit="1" ySplit="6" topLeftCell="B7" activePane="bottomRight" state="frozen"/>
      <selection pane="topLeft" activeCell="A1" activeCellId="0" sqref="A1"/>
      <selection pane="topRight" activeCell="B1" activeCellId="0" sqref="B1"/>
      <selection pane="bottomLeft" activeCell="A7" activeCellId="0" sqref="A7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3"/>
    <col collapsed="false" customWidth="true" hidden="false" outlineLevel="0" max="2" min="2" style="1" width="27"/>
    <col collapsed="false" customWidth="true" hidden="false" outlineLevel="0" max="3" min="3" style="1" width="6"/>
    <col collapsed="false" customWidth="true" hidden="false" outlineLevel="0" max="4" min="4" style="1" width="95"/>
    <col collapsed="false" customWidth="true" hidden="false" outlineLevel="0" max="5" min="5" style="1" width="16"/>
    <col collapsed="false" customWidth="true" hidden="true" outlineLevel="0" max="13" min="7" style="1" width="13"/>
  </cols>
  <sheetData>
    <row r="1" customFormat="false" ht="15" hidden="false" customHeight="true" outlineLevel="0" collapsed="false">
      <c r="B1" s="33" t="s">
        <v>45</v>
      </c>
      <c r="M1" s="1" t="n">
        <f aca="false">SUM(H7:H11)</f>
        <v>11</v>
      </c>
    </row>
    <row r="2" customFormat="false" ht="39.75" hidden="false" customHeight="true" outlineLevel="0" collapsed="false">
      <c r="B2" s="69" t="s">
        <v>35</v>
      </c>
      <c r="C2" s="69"/>
      <c r="D2" s="69"/>
      <c r="E2" s="35" t="s">
        <v>27</v>
      </c>
      <c r="M2" s="1" t="n">
        <f aca="false">SUM(I7:I11)</f>
        <v>17</v>
      </c>
    </row>
    <row r="3" customFormat="false" ht="31.5" hidden="false" customHeight="true" outlineLevel="0" collapsed="false">
      <c r="B3" s="36" t="s">
        <v>257</v>
      </c>
      <c r="C3" s="36"/>
      <c r="D3" s="36"/>
      <c r="E3" s="36"/>
      <c r="M3" s="1" t="n">
        <f aca="false">SUM(K7:K11)</f>
        <v>2</v>
      </c>
    </row>
    <row r="4" customFormat="false" ht="13.5" hidden="false" customHeight="true" outlineLevel="0" collapsed="false">
      <c r="B4" s="37" t="s">
        <v>12</v>
      </c>
      <c r="C4" s="37" t="s">
        <v>13</v>
      </c>
      <c r="D4" s="37" t="s">
        <v>47</v>
      </c>
      <c r="E4" s="37" t="s">
        <v>48</v>
      </c>
      <c r="M4" s="1" t="n">
        <f aca="false">SUM(J7:J11)</f>
        <v>2</v>
      </c>
    </row>
    <row r="5" customFormat="false" ht="25.5" hidden="false" customHeight="true" outlineLevel="0" collapsed="false">
      <c r="B5" s="38" t="str">
        <f aca="false">IF(M3=0,"Not started",INDEX(G7:G11,M3))</f>
        <v>Formed</v>
      </c>
      <c r="C5" s="39" t="n">
        <f aca="false">IF(M2=0,0,M1/M2)</f>
        <v>0.647058823529412</v>
      </c>
      <c r="D5" s="38" t="str">
        <f aca="false">M4&amp;" / "&amp;5</f>
        <v>2 / 5</v>
      </c>
      <c r="E5" s="40" t="s">
        <v>226</v>
      </c>
    </row>
    <row r="6" customFormat="false" ht="19.5" hidden="false" customHeight="true" outlineLevel="0" collapsed="false">
      <c r="B6" s="41" t="s">
        <v>50</v>
      </c>
      <c r="C6" s="15" t="s">
        <v>51</v>
      </c>
      <c r="D6" s="41" t="s">
        <v>52</v>
      </c>
      <c r="E6" s="15" t="s">
        <v>53</v>
      </c>
    </row>
    <row r="7" customFormat="false" ht="21" hidden="false" customHeight="true" outlineLevel="0" collapsed="false">
      <c r="B7" s="70" t="s">
        <v>122</v>
      </c>
      <c r="C7" s="71" t="s">
        <v>51</v>
      </c>
      <c r="D7" s="72" t="s">
        <v>258</v>
      </c>
      <c r="E7" s="73" t="str">
        <f aca="false">COUNTIF(C7:C11,"✔")&amp;" / 5"</f>
        <v>5 / 5</v>
      </c>
      <c r="G7" s="1" t="s">
        <v>124</v>
      </c>
      <c r="H7" s="1" t="n">
        <f aca="false">COUNTIF(C7:C11,"✔")</f>
        <v>5</v>
      </c>
      <c r="I7" s="1" t="n">
        <v>5</v>
      </c>
      <c r="J7" s="1" t="n">
        <f aca="false">IF(H7=I7,1,0)</f>
        <v>1</v>
      </c>
      <c r="K7" s="1" t="n">
        <f aca="false">J7</f>
        <v>1</v>
      </c>
    </row>
    <row r="8" customFormat="false" ht="21" hidden="false" customHeight="true" outlineLevel="0" collapsed="false">
      <c r="B8" s="70"/>
      <c r="C8" s="71" t="s">
        <v>51</v>
      </c>
      <c r="D8" s="72" t="s">
        <v>259</v>
      </c>
      <c r="E8" s="73"/>
      <c r="G8" s="1" t="s">
        <v>260</v>
      </c>
      <c r="H8" s="1" t="n">
        <f aca="false">COUNTIF(C12:C15,"✔")</f>
        <v>4</v>
      </c>
      <c r="I8" s="1" t="n">
        <v>4</v>
      </c>
      <c r="J8" s="1" t="n">
        <f aca="false">IF(H8=I8,1,0)</f>
        <v>1</v>
      </c>
      <c r="K8" s="1" t="n">
        <f aca="false">J8*K7</f>
        <v>1</v>
      </c>
    </row>
    <row r="9" customFormat="false" ht="21" hidden="false" customHeight="true" outlineLevel="0" collapsed="false">
      <c r="B9" s="70"/>
      <c r="C9" s="71" t="s">
        <v>51</v>
      </c>
      <c r="D9" s="72" t="s">
        <v>261</v>
      </c>
      <c r="E9" s="73"/>
      <c r="G9" s="1" t="s">
        <v>262</v>
      </c>
      <c r="H9" s="1" t="n">
        <f aca="false">COUNTIF(C16:C18,"✔")</f>
        <v>2</v>
      </c>
      <c r="I9" s="1" t="n">
        <v>3</v>
      </c>
      <c r="J9" s="1" t="n">
        <f aca="false">IF(H9=I9,1,0)</f>
        <v>0</v>
      </c>
      <c r="K9" s="1" t="n">
        <f aca="false">J9*K8</f>
        <v>0</v>
      </c>
    </row>
    <row r="10" customFormat="false" ht="21" hidden="false" customHeight="true" outlineLevel="0" collapsed="false">
      <c r="B10" s="70"/>
      <c r="C10" s="71" t="s">
        <v>51</v>
      </c>
      <c r="D10" s="72" t="s">
        <v>263</v>
      </c>
      <c r="E10" s="73"/>
      <c r="G10" s="1" t="s">
        <v>36</v>
      </c>
      <c r="H10" s="1" t="n">
        <f aca="false">COUNTIF(C19:C21,"✔")</f>
        <v>0</v>
      </c>
      <c r="I10" s="1" t="n">
        <v>3</v>
      </c>
      <c r="J10" s="1" t="n">
        <f aca="false">IF(H10=I10,1,0)</f>
        <v>0</v>
      </c>
      <c r="K10" s="1" t="n">
        <f aca="false">J10*K9</f>
        <v>0</v>
      </c>
    </row>
    <row r="11" customFormat="false" ht="21" hidden="false" customHeight="true" outlineLevel="0" collapsed="false">
      <c r="B11" s="70"/>
      <c r="C11" s="74" t="s">
        <v>51</v>
      </c>
      <c r="D11" s="75" t="s">
        <v>264</v>
      </c>
      <c r="E11" s="73"/>
      <c r="G11" s="1" t="s">
        <v>265</v>
      </c>
      <c r="H11" s="1" t="n">
        <f aca="false">COUNTIF(C22:C23,"✔")</f>
        <v>0</v>
      </c>
      <c r="I11" s="1" t="n">
        <v>2</v>
      </c>
      <c r="J11" s="1" t="n">
        <f aca="false">IF(H11=I11,1,0)</f>
        <v>0</v>
      </c>
      <c r="K11" s="1" t="n">
        <f aca="false">J11*K10</f>
        <v>0</v>
      </c>
    </row>
    <row r="12" customFormat="false" ht="21" hidden="false" customHeight="true" outlineLevel="0" collapsed="false">
      <c r="B12" s="76" t="s">
        <v>266</v>
      </c>
      <c r="C12" s="77" t="s">
        <v>51</v>
      </c>
      <c r="D12" s="78" t="s">
        <v>267</v>
      </c>
      <c r="E12" s="73" t="str">
        <f aca="false">COUNTIF(C12:C15,"✔")&amp;" / 4"</f>
        <v>4 / 4</v>
      </c>
    </row>
    <row r="13" customFormat="false" ht="21" hidden="false" customHeight="true" outlineLevel="0" collapsed="false">
      <c r="B13" s="76"/>
      <c r="C13" s="77" t="s">
        <v>51</v>
      </c>
      <c r="D13" s="78" t="s">
        <v>268</v>
      </c>
      <c r="E13" s="73"/>
    </row>
    <row r="14" customFormat="false" ht="21" hidden="false" customHeight="true" outlineLevel="0" collapsed="false">
      <c r="B14" s="76"/>
      <c r="C14" s="77" t="s">
        <v>51</v>
      </c>
      <c r="D14" s="78" t="s">
        <v>269</v>
      </c>
      <c r="E14" s="73"/>
    </row>
    <row r="15" customFormat="false" ht="21" hidden="false" customHeight="true" outlineLevel="0" collapsed="false">
      <c r="B15" s="76"/>
      <c r="C15" s="79" t="s">
        <v>51</v>
      </c>
      <c r="D15" s="80" t="s">
        <v>270</v>
      </c>
      <c r="E15" s="73"/>
    </row>
    <row r="16" customFormat="false" ht="21" hidden="false" customHeight="true" outlineLevel="0" collapsed="false">
      <c r="B16" s="70" t="s">
        <v>271</v>
      </c>
      <c r="C16" s="71" t="s">
        <v>51</v>
      </c>
      <c r="D16" s="72" t="s">
        <v>272</v>
      </c>
      <c r="E16" s="73" t="str">
        <f aca="false">COUNTIF(C16:C18,"✔")&amp;" / 3"</f>
        <v>2 / 3</v>
      </c>
    </row>
    <row r="17" customFormat="false" ht="21" hidden="false" customHeight="true" outlineLevel="0" collapsed="false">
      <c r="B17" s="70"/>
      <c r="C17" s="71" t="s">
        <v>51</v>
      </c>
      <c r="D17" s="72" t="s">
        <v>273</v>
      </c>
      <c r="E17" s="73"/>
    </row>
    <row r="18" customFormat="false" ht="21" hidden="false" customHeight="true" outlineLevel="0" collapsed="false">
      <c r="B18" s="70"/>
      <c r="C18" s="74"/>
      <c r="D18" s="75" t="s">
        <v>274</v>
      </c>
      <c r="E18" s="73"/>
    </row>
    <row r="19" customFormat="false" ht="21" hidden="false" customHeight="true" outlineLevel="0" collapsed="false">
      <c r="B19" s="76" t="s">
        <v>275</v>
      </c>
      <c r="C19" s="77"/>
      <c r="D19" s="78" t="s">
        <v>276</v>
      </c>
      <c r="E19" s="73" t="str">
        <f aca="false">COUNTIF(C19:C21,"✔")&amp;" / 3"</f>
        <v>0 / 3</v>
      </c>
    </row>
    <row r="20" customFormat="false" ht="21" hidden="false" customHeight="true" outlineLevel="0" collapsed="false">
      <c r="B20" s="76"/>
      <c r="C20" s="77"/>
      <c r="D20" s="78" t="s">
        <v>277</v>
      </c>
      <c r="E20" s="73"/>
    </row>
    <row r="21" customFormat="false" ht="21" hidden="false" customHeight="true" outlineLevel="0" collapsed="false">
      <c r="B21" s="76"/>
      <c r="C21" s="79"/>
      <c r="D21" s="80" t="s">
        <v>278</v>
      </c>
      <c r="E21" s="73"/>
    </row>
    <row r="22" customFormat="false" ht="21" hidden="false" customHeight="true" outlineLevel="0" collapsed="false">
      <c r="B22" s="70" t="s">
        <v>279</v>
      </c>
      <c r="C22" s="71"/>
      <c r="D22" s="72" t="s">
        <v>280</v>
      </c>
      <c r="E22" s="73" t="str">
        <f aca="false">COUNTIF(C22:C23,"✔")&amp;" / 2"</f>
        <v>0 / 2</v>
      </c>
    </row>
    <row r="23" customFormat="false" ht="21" hidden="false" customHeight="true" outlineLevel="0" collapsed="false">
      <c r="B23" s="70"/>
      <c r="C23" s="74"/>
      <c r="D23" s="75" t="s">
        <v>281</v>
      </c>
      <c r="E23" s="73"/>
    </row>
  </sheetData>
  <mergeCells count="12">
    <mergeCell ref="B2:D2"/>
    <mergeCell ref="B3:E3"/>
    <mergeCell ref="B7:B11"/>
    <mergeCell ref="E7:E11"/>
    <mergeCell ref="B12:B15"/>
    <mergeCell ref="E12:E15"/>
    <mergeCell ref="B16:B18"/>
    <mergeCell ref="E16:E18"/>
    <mergeCell ref="B19:B21"/>
    <mergeCell ref="E19:E21"/>
    <mergeCell ref="B22:B23"/>
    <mergeCell ref="E22:E23"/>
  </mergeCells>
  <conditionalFormatting sqref="E7:E11">
    <cfRule type="expression" priority="2" aboveAverage="0" equalAverage="0" bottom="0" percent="0" rank="0" text="" dxfId="3">
      <formula>COUNTIF($C$7:$C$11,"✔")=5</formula>
    </cfRule>
  </conditionalFormatting>
  <conditionalFormatting sqref="E12:E15">
    <cfRule type="expression" priority="3" aboveAverage="0" equalAverage="0" bottom="0" percent="0" rank="0" text="" dxfId="3">
      <formula>COUNTIF($C$12:$C$15,"✔")=4</formula>
    </cfRule>
  </conditionalFormatting>
  <conditionalFormatting sqref="E16:E18">
    <cfRule type="expression" priority="4" aboveAverage="0" equalAverage="0" bottom="0" percent="0" rank="0" text="" dxfId="3">
      <formula>COUNTIF($C$16:$C$18,"✔")=3</formula>
    </cfRule>
  </conditionalFormatting>
  <conditionalFormatting sqref="E19:E21">
    <cfRule type="expression" priority="5" aboveAverage="0" equalAverage="0" bottom="0" percent="0" rank="0" text="" dxfId="3">
      <formula>COUNTIF($C$19:$C$21,"✔")=3</formula>
    </cfRule>
  </conditionalFormatting>
  <conditionalFormatting sqref="E22:E23">
    <cfRule type="expression" priority="6" aboveAverage="0" equalAverage="0" bottom="0" percent="0" rank="0" text="" dxfId="3">
      <formula>COUNTIF($C$22:$C$23,"✔")=2</formula>
    </cfRule>
  </conditionalFormatting>
  <conditionalFormatting sqref="C7:C23">
    <cfRule type="expression" priority="7" aboveAverage="0" equalAverage="0" bottom="0" percent="0" rank="0" text="" dxfId="4">
      <formula>C7="✔"</formula>
    </cfRule>
  </conditionalFormatting>
  <dataValidations count="1">
    <dataValidation allowBlank="true" errorStyle="stop" operator="between" showDropDown="false" showErrorMessage="false" showInputMessage="false" sqref="C7:C23" type="list">
      <formula1>"✔"</formula1>
      <formula2>0</formula2>
    </dataValidation>
  </dataValidations>
  <hyperlinks>
    <hyperlink ref="B1" location="Dashboard!A1" display="← Dashboard"/>
  </hyperlinks>
  <printOptions headings="false" gridLines="false" gridLinesSet="true" horizontalCentered="false" verticalCentered="false"/>
  <pageMargins left="0.3" right="0.3" top="0.4" bottom="0.4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557A7"/>
    <pageSetUpPr fitToPage="true"/>
  </sheetPr>
  <dimension ref="B1:M23"/>
  <sheetViews>
    <sheetView showFormulas="false" showGridLines="false" showRowColHeaders="true" showZeros="true" rightToLeft="false" tabSelected="false" showOutlineSymbols="true" defaultGridColor="true" view="normal" topLeftCell="A1" colorId="64" zoomScale="110" zoomScaleNormal="110" zoomScalePageLayoutView="100" workbookViewId="0">
      <pane xSplit="1" ySplit="6" topLeftCell="B7" activePane="bottomRight" state="frozen"/>
      <selection pane="topLeft" activeCell="A1" activeCellId="0" sqref="A1"/>
      <selection pane="topRight" activeCell="B1" activeCellId="0" sqref="B1"/>
      <selection pane="bottomLeft" activeCell="A7" activeCellId="0" sqref="A7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3"/>
    <col collapsed="false" customWidth="true" hidden="false" outlineLevel="0" max="2" min="2" style="1" width="27"/>
    <col collapsed="false" customWidth="true" hidden="false" outlineLevel="0" max="3" min="3" style="1" width="6"/>
    <col collapsed="false" customWidth="true" hidden="false" outlineLevel="0" max="4" min="4" style="1" width="95"/>
    <col collapsed="false" customWidth="true" hidden="false" outlineLevel="0" max="5" min="5" style="1" width="16"/>
    <col collapsed="false" customWidth="true" hidden="true" outlineLevel="0" max="13" min="7" style="1" width="13"/>
  </cols>
  <sheetData>
    <row r="1" customFormat="false" ht="15" hidden="false" customHeight="true" outlineLevel="0" collapsed="false">
      <c r="B1" s="33" t="s">
        <v>45</v>
      </c>
      <c r="M1" s="1" t="n">
        <f aca="false">SUM(H7:H12)</f>
        <v>7</v>
      </c>
    </row>
    <row r="2" customFormat="false" ht="39.75" hidden="false" customHeight="true" outlineLevel="0" collapsed="false">
      <c r="B2" s="69" t="s">
        <v>37</v>
      </c>
      <c r="C2" s="69"/>
      <c r="D2" s="69"/>
      <c r="E2" s="35" t="s">
        <v>27</v>
      </c>
      <c r="M2" s="1" t="n">
        <f aca="false">SUM(I7:I12)</f>
        <v>17</v>
      </c>
    </row>
    <row r="3" customFormat="false" ht="31.5" hidden="false" customHeight="true" outlineLevel="0" collapsed="false">
      <c r="B3" s="36" t="s">
        <v>282</v>
      </c>
      <c r="C3" s="36"/>
      <c r="D3" s="36"/>
      <c r="E3" s="36"/>
      <c r="M3" s="1" t="n">
        <f aca="false">SUM(K7:K12)</f>
        <v>2</v>
      </c>
    </row>
    <row r="4" customFormat="false" ht="13.5" hidden="false" customHeight="true" outlineLevel="0" collapsed="false">
      <c r="B4" s="37" t="s">
        <v>12</v>
      </c>
      <c r="C4" s="37" t="s">
        <v>13</v>
      </c>
      <c r="D4" s="37" t="s">
        <v>47</v>
      </c>
      <c r="E4" s="37" t="s">
        <v>48</v>
      </c>
      <c r="M4" s="1" t="n">
        <f aca="false">SUM(J7:J12)</f>
        <v>2</v>
      </c>
    </row>
    <row r="5" customFormat="false" ht="25.5" hidden="false" customHeight="true" outlineLevel="0" collapsed="false">
      <c r="B5" s="38" t="str">
        <f aca="false">IF(M3=0,"Not started",INDEX(G7:G12,M3))</f>
        <v>Foundation Established</v>
      </c>
      <c r="C5" s="39" t="n">
        <f aca="false">IF(M2=0,0,M1/M2)</f>
        <v>0.411764705882353</v>
      </c>
      <c r="D5" s="38" t="str">
        <f aca="false">M4&amp;" / "&amp;6</f>
        <v>2 / 6</v>
      </c>
      <c r="E5" s="40" t="s">
        <v>226</v>
      </c>
    </row>
    <row r="6" customFormat="false" ht="19.5" hidden="false" customHeight="true" outlineLevel="0" collapsed="false">
      <c r="B6" s="41" t="s">
        <v>50</v>
      </c>
      <c r="C6" s="15" t="s">
        <v>51</v>
      </c>
      <c r="D6" s="41" t="s">
        <v>52</v>
      </c>
      <c r="E6" s="15" t="s">
        <v>53</v>
      </c>
    </row>
    <row r="7" customFormat="false" ht="21" hidden="false" customHeight="true" outlineLevel="0" collapsed="false">
      <c r="B7" s="70" t="s">
        <v>283</v>
      </c>
      <c r="C7" s="71" t="s">
        <v>51</v>
      </c>
      <c r="D7" s="72" t="s">
        <v>284</v>
      </c>
      <c r="E7" s="73" t="str">
        <f aca="false">COUNTIF(C7:C9,"✔")&amp;" / 3"</f>
        <v>3 / 3</v>
      </c>
      <c r="G7" s="1" t="s">
        <v>285</v>
      </c>
      <c r="H7" s="1" t="n">
        <f aca="false">COUNTIF(C7:C9,"✔")</f>
        <v>3</v>
      </c>
      <c r="I7" s="1" t="n">
        <v>3</v>
      </c>
      <c r="J7" s="1" t="n">
        <f aca="false">IF(H7=I7,1,0)</f>
        <v>1</v>
      </c>
      <c r="K7" s="1" t="n">
        <f aca="false">J7</f>
        <v>1</v>
      </c>
    </row>
    <row r="8" customFormat="false" ht="21" hidden="false" customHeight="true" outlineLevel="0" collapsed="false">
      <c r="B8" s="70"/>
      <c r="C8" s="71" t="s">
        <v>51</v>
      </c>
      <c r="D8" s="72" t="s">
        <v>286</v>
      </c>
      <c r="E8" s="73"/>
      <c r="G8" s="1" t="s">
        <v>287</v>
      </c>
      <c r="H8" s="1" t="n">
        <f aca="false">COUNTIF(C10:C12,"✔")</f>
        <v>3</v>
      </c>
      <c r="I8" s="1" t="n">
        <v>3</v>
      </c>
      <c r="J8" s="1" t="n">
        <f aca="false">IF(H8=I8,1,0)</f>
        <v>1</v>
      </c>
      <c r="K8" s="1" t="n">
        <f aca="false">J8*K7</f>
        <v>1</v>
      </c>
    </row>
    <row r="9" customFormat="false" ht="21" hidden="false" customHeight="true" outlineLevel="0" collapsed="false">
      <c r="B9" s="70"/>
      <c r="C9" s="74" t="s">
        <v>51</v>
      </c>
      <c r="D9" s="75" t="s">
        <v>288</v>
      </c>
      <c r="E9" s="73"/>
      <c r="G9" s="1" t="s">
        <v>289</v>
      </c>
      <c r="H9" s="1" t="n">
        <f aca="false">COUNTIF(C13:C15,"✔")</f>
        <v>1</v>
      </c>
      <c r="I9" s="1" t="n">
        <v>3</v>
      </c>
      <c r="J9" s="1" t="n">
        <f aca="false">IF(H9=I9,1,0)</f>
        <v>0</v>
      </c>
      <c r="K9" s="1" t="n">
        <f aca="false">J9*K8</f>
        <v>0</v>
      </c>
    </row>
    <row r="10" customFormat="false" ht="21" hidden="false" customHeight="true" outlineLevel="0" collapsed="false">
      <c r="B10" s="76" t="s">
        <v>290</v>
      </c>
      <c r="C10" s="77" t="s">
        <v>51</v>
      </c>
      <c r="D10" s="78" t="s">
        <v>291</v>
      </c>
      <c r="E10" s="73" t="str">
        <f aca="false">COUNTIF(C10:C12,"✔")&amp;" / 3"</f>
        <v>3 / 3</v>
      </c>
      <c r="G10" s="1" t="s">
        <v>292</v>
      </c>
      <c r="H10" s="1" t="n">
        <f aca="false">COUNTIF(C16:C18,"✔")</f>
        <v>0</v>
      </c>
      <c r="I10" s="1" t="n">
        <v>3</v>
      </c>
      <c r="J10" s="1" t="n">
        <f aca="false">IF(H10=I10,1,0)</f>
        <v>0</v>
      </c>
      <c r="K10" s="1" t="n">
        <f aca="false">J10*K9</f>
        <v>0</v>
      </c>
    </row>
    <row r="11" customFormat="false" ht="21" hidden="false" customHeight="true" outlineLevel="0" collapsed="false">
      <c r="B11" s="76"/>
      <c r="C11" s="77" t="s">
        <v>51</v>
      </c>
      <c r="D11" s="78" t="s">
        <v>293</v>
      </c>
      <c r="E11" s="73"/>
      <c r="G11" s="1" t="s">
        <v>38</v>
      </c>
      <c r="H11" s="1" t="n">
        <f aca="false">COUNTIF(C19:C21,"✔")</f>
        <v>0</v>
      </c>
      <c r="I11" s="1" t="n">
        <v>3</v>
      </c>
      <c r="J11" s="1" t="n">
        <f aca="false">IF(H11=I11,1,0)</f>
        <v>0</v>
      </c>
      <c r="K11" s="1" t="n">
        <f aca="false">J11*K10</f>
        <v>0</v>
      </c>
    </row>
    <row r="12" customFormat="false" ht="21" hidden="false" customHeight="true" outlineLevel="0" collapsed="false">
      <c r="B12" s="76"/>
      <c r="C12" s="79" t="s">
        <v>51</v>
      </c>
      <c r="D12" s="80" t="s">
        <v>294</v>
      </c>
      <c r="E12" s="73"/>
      <c r="G12" s="1" t="s">
        <v>194</v>
      </c>
      <c r="H12" s="1" t="n">
        <f aca="false">COUNTIF(C22:C23,"✔")</f>
        <v>0</v>
      </c>
      <c r="I12" s="1" t="n">
        <v>2</v>
      </c>
      <c r="J12" s="1" t="n">
        <f aca="false">IF(H12=I12,1,0)</f>
        <v>0</v>
      </c>
      <c r="K12" s="1" t="n">
        <f aca="false">J12*K11</f>
        <v>0</v>
      </c>
    </row>
    <row r="13" customFormat="false" ht="21" hidden="false" customHeight="true" outlineLevel="0" collapsed="false">
      <c r="B13" s="70" t="s">
        <v>295</v>
      </c>
      <c r="C13" s="71" t="s">
        <v>51</v>
      </c>
      <c r="D13" s="72" t="s">
        <v>296</v>
      </c>
      <c r="E13" s="73" t="str">
        <f aca="false">COUNTIF(C13:C15,"✔")&amp;" / 3"</f>
        <v>1 / 3</v>
      </c>
    </row>
    <row r="14" customFormat="false" ht="21" hidden="false" customHeight="true" outlineLevel="0" collapsed="false">
      <c r="B14" s="70"/>
      <c r="C14" s="71"/>
      <c r="D14" s="72" t="s">
        <v>297</v>
      </c>
      <c r="E14" s="73"/>
    </row>
    <row r="15" customFormat="false" ht="21" hidden="false" customHeight="true" outlineLevel="0" collapsed="false">
      <c r="B15" s="70"/>
      <c r="C15" s="74"/>
      <c r="D15" s="75" t="s">
        <v>298</v>
      </c>
      <c r="E15" s="73"/>
    </row>
    <row r="16" customFormat="false" ht="21" hidden="false" customHeight="true" outlineLevel="0" collapsed="false">
      <c r="B16" s="76" t="s">
        <v>299</v>
      </c>
      <c r="C16" s="77"/>
      <c r="D16" s="78" t="s">
        <v>300</v>
      </c>
      <c r="E16" s="73" t="str">
        <f aca="false">COUNTIF(C16:C18,"✔")&amp;" / 3"</f>
        <v>0 / 3</v>
      </c>
    </row>
    <row r="17" customFormat="false" ht="21" hidden="false" customHeight="true" outlineLevel="0" collapsed="false">
      <c r="B17" s="76"/>
      <c r="C17" s="77"/>
      <c r="D17" s="78" t="s">
        <v>301</v>
      </c>
      <c r="E17" s="73"/>
    </row>
    <row r="18" customFormat="false" ht="21" hidden="false" customHeight="true" outlineLevel="0" collapsed="false">
      <c r="B18" s="76"/>
      <c r="C18" s="79"/>
      <c r="D18" s="80" t="s">
        <v>302</v>
      </c>
      <c r="E18" s="73"/>
    </row>
    <row r="19" customFormat="false" ht="21" hidden="false" customHeight="true" outlineLevel="0" collapsed="false">
      <c r="B19" s="70" t="s">
        <v>303</v>
      </c>
      <c r="C19" s="71"/>
      <c r="D19" s="72" t="s">
        <v>304</v>
      </c>
      <c r="E19" s="73" t="str">
        <f aca="false">COUNTIF(C19:C21,"✔")&amp;" / 3"</f>
        <v>0 / 3</v>
      </c>
    </row>
    <row r="20" customFormat="false" ht="21" hidden="false" customHeight="true" outlineLevel="0" collapsed="false">
      <c r="B20" s="70"/>
      <c r="C20" s="71"/>
      <c r="D20" s="72" t="s">
        <v>305</v>
      </c>
      <c r="E20" s="73"/>
    </row>
    <row r="21" customFormat="false" ht="21" hidden="false" customHeight="true" outlineLevel="0" collapsed="false">
      <c r="B21" s="70"/>
      <c r="C21" s="74"/>
      <c r="D21" s="75" t="s">
        <v>306</v>
      </c>
      <c r="E21" s="73"/>
    </row>
    <row r="22" customFormat="false" ht="21" hidden="false" customHeight="true" outlineLevel="0" collapsed="false">
      <c r="B22" s="76" t="s">
        <v>220</v>
      </c>
      <c r="C22" s="77"/>
      <c r="D22" s="78" t="s">
        <v>307</v>
      </c>
      <c r="E22" s="73" t="str">
        <f aca="false">COUNTIF(C22:C23,"✔")&amp;" / 2"</f>
        <v>0 / 2</v>
      </c>
    </row>
    <row r="23" customFormat="false" ht="21" hidden="false" customHeight="true" outlineLevel="0" collapsed="false">
      <c r="B23" s="76"/>
      <c r="C23" s="79"/>
      <c r="D23" s="80" t="s">
        <v>308</v>
      </c>
      <c r="E23" s="73"/>
    </row>
  </sheetData>
  <mergeCells count="14">
    <mergeCell ref="B2:D2"/>
    <mergeCell ref="B3:E3"/>
    <mergeCell ref="B7:B9"/>
    <mergeCell ref="E7:E9"/>
    <mergeCell ref="B10:B12"/>
    <mergeCell ref="E10:E12"/>
    <mergeCell ref="B13:B15"/>
    <mergeCell ref="E13:E15"/>
    <mergeCell ref="B16:B18"/>
    <mergeCell ref="E16:E18"/>
    <mergeCell ref="B19:B21"/>
    <mergeCell ref="E19:E21"/>
    <mergeCell ref="B22:B23"/>
    <mergeCell ref="E22:E23"/>
  </mergeCells>
  <conditionalFormatting sqref="E7:E9">
    <cfRule type="expression" priority="2" aboveAverage="0" equalAverage="0" bottom="0" percent="0" rank="0" text="" dxfId="3">
      <formula>COUNTIF($C$7:$C$9,"✔")=3</formula>
    </cfRule>
  </conditionalFormatting>
  <conditionalFormatting sqref="E10:E12">
    <cfRule type="expression" priority="3" aboveAverage="0" equalAverage="0" bottom="0" percent="0" rank="0" text="" dxfId="3">
      <formula>COUNTIF($C$10:$C$12,"✔")=3</formula>
    </cfRule>
  </conditionalFormatting>
  <conditionalFormatting sqref="E13:E15">
    <cfRule type="expression" priority="4" aboveAverage="0" equalAverage="0" bottom="0" percent="0" rank="0" text="" dxfId="3">
      <formula>COUNTIF($C$13:$C$15,"✔")=3</formula>
    </cfRule>
  </conditionalFormatting>
  <conditionalFormatting sqref="E16:E18">
    <cfRule type="expression" priority="5" aboveAverage="0" equalAverage="0" bottom="0" percent="0" rank="0" text="" dxfId="3">
      <formula>COUNTIF($C$16:$C$18,"✔")=3</formula>
    </cfRule>
  </conditionalFormatting>
  <conditionalFormatting sqref="E19:E21">
    <cfRule type="expression" priority="6" aboveAverage="0" equalAverage="0" bottom="0" percent="0" rank="0" text="" dxfId="3">
      <formula>COUNTIF($C$19:$C$21,"✔")=3</formula>
    </cfRule>
  </conditionalFormatting>
  <conditionalFormatting sqref="E22:E23">
    <cfRule type="expression" priority="7" aboveAverage="0" equalAverage="0" bottom="0" percent="0" rank="0" text="" dxfId="3">
      <formula>COUNTIF($C$22:$C$23,"✔")=2</formula>
    </cfRule>
  </conditionalFormatting>
  <conditionalFormatting sqref="C7:C23">
    <cfRule type="expression" priority="8" aboveAverage="0" equalAverage="0" bottom="0" percent="0" rank="0" text="" dxfId="4">
      <formula>C7="✔"</formula>
    </cfRule>
  </conditionalFormatting>
  <dataValidations count="1">
    <dataValidation allowBlank="true" errorStyle="stop" operator="between" showDropDown="false" showErrorMessage="false" showInputMessage="false" sqref="C7:C23" type="list">
      <formula1>"✔"</formula1>
      <formula2>0</formula2>
    </dataValidation>
  </dataValidations>
  <hyperlinks>
    <hyperlink ref="B1" location="Dashboard!A1" display="← Dashboard"/>
  </hyperlinks>
  <printOptions headings="false" gridLines="false" gridLinesSet="true" horizontalCentered="false" verticalCentered="false"/>
  <pageMargins left="0.3" right="0.3" top="0.4" bottom="0.4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557A7"/>
    <pageSetUpPr fitToPage="true"/>
  </sheetPr>
  <dimension ref="B1:M16"/>
  <sheetViews>
    <sheetView showFormulas="false" showGridLines="false" showRowColHeaders="true" showZeros="true" rightToLeft="false" tabSelected="false" showOutlineSymbols="true" defaultGridColor="true" view="normal" topLeftCell="A1" colorId="64" zoomScale="110" zoomScaleNormal="110" zoomScalePageLayoutView="100" workbookViewId="0">
      <pane xSplit="1" ySplit="6" topLeftCell="B7" activePane="bottomRight" state="frozen"/>
      <selection pane="topLeft" activeCell="A1" activeCellId="0" sqref="A1"/>
      <selection pane="topRight" activeCell="B1" activeCellId="0" sqref="B1"/>
      <selection pane="bottomLeft" activeCell="A7" activeCellId="0" sqref="A7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3"/>
    <col collapsed="false" customWidth="true" hidden="false" outlineLevel="0" max="2" min="2" style="1" width="27"/>
    <col collapsed="false" customWidth="true" hidden="false" outlineLevel="0" max="3" min="3" style="1" width="6"/>
    <col collapsed="false" customWidth="true" hidden="false" outlineLevel="0" max="4" min="4" style="1" width="95"/>
    <col collapsed="false" customWidth="true" hidden="false" outlineLevel="0" max="5" min="5" style="1" width="16"/>
    <col collapsed="false" customWidth="true" hidden="true" outlineLevel="0" max="13" min="7" style="1" width="13"/>
  </cols>
  <sheetData>
    <row r="1" customFormat="false" ht="15" hidden="false" customHeight="true" outlineLevel="0" collapsed="false">
      <c r="B1" s="81" t="s">
        <v>45</v>
      </c>
      <c r="M1" s="1" t="n">
        <f aca="false">SUM(H7:H11)</f>
        <v>7</v>
      </c>
    </row>
    <row r="2" customFormat="false" ht="39.75" hidden="false" customHeight="true" outlineLevel="0" collapsed="false">
      <c r="B2" s="69" t="s">
        <v>39</v>
      </c>
      <c r="C2" s="69"/>
      <c r="D2" s="69"/>
      <c r="E2" s="35" t="s">
        <v>309</v>
      </c>
      <c r="M2" s="1" t="n">
        <f aca="false">SUM(I7:I11)</f>
        <v>10</v>
      </c>
    </row>
    <row r="3" customFormat="false" ht="31.5" hidden="false" customHeight="true" outlineLevel="0" collapsed="false">
      <c r="B3" s="36" t="s">
        <v>310</v>
      </c>
      <c r="C3" s="36"/>
      <c r="D3" s="36"/>
      <c r="E3" s="36"/>
      <c r="M3" s="1" t="n">
        <f aca="false">SUM(K7:K11)</f>
        <v>3</v>
      </c>
    </row>
    <row r="4" customFormat="false" ht="13.5" hidden="false" customHeight="true" outlineLevel="0" collapsed="false">
      <c r="B4" s="37" t="s">
        <v>12</v>
      </c>
      <c r="C4" s="37" t="s">
        <v>13</v>
      </c>
      <c r="D4" s="37" t="s">
        <v>47</v>
      </c>
      <c r="E4" s="37" t="s">
        <v>48</v>
      </c>
      <c r="M4" s="1" t="n">
        <f aca="false">SUM(J7:J11)</f>
        <v>3</v>
      </c>
    </row>
    <row r="5" customFormat="false" ht="25.5" hidden="false" customHeight="true" outlineLevel="0" collapsed="false">
      <c r="B5" s="82" t="str">
        <f aca="false">IF(M3=0,"Not started",INDEX(G7:G11,M3))</f>
        <v>Guiding</v>
      </c>
      <c r="C5" s="83" t="n">
        <f aca="false">IF(M2=0,0,M1/M2)</f>
        <v>0.7</v>
      </c>
      <c r="D5" s="82" t="str">
        <f aca="false">M4&amp;" / "&amp;5</f>
        <v>3 / 5</v>
      </c>
      <c r="E5" s="84" t="s">
        <v>311</v>
      </c>
    </row>
    <row r="6" customFormat="false" ht="19.5" hidden="false" customHeight="true" outlineLevel="0" collapsed="false">
      <c r="B6" s="41" t="s">
        <v>50</v>
      </c>
      <c r="C6" s="15" t="s">
        <v>51</v>
      </c>
      <c r="D6" s="41" t="s">
        <v>52</v>
      </c>
      <c r="E6" s="15" t="s">
        <v>53</v>
      </c>
    </row>
    <row r="7" customFormat="false" ht="21" hidden="false" customHeight="true" outlineLevel="0" collapsed="false">
      <c r="B7" s="70" t="s">
        <v>227</v>
      </c>
      <c r="C7" s="71" t="s">
        <v>51</v>
      </c>
      <c r="D7" s="72" t="s">
        <v>312</v>
      </c>
      <c r="E7" s="73" t="str">
        <f aca="false">COUNTIF(C7:C8,"✔")&amp;" / 2"</f>
        <v>2 / 2</v>
      </c>
      <c r="G7" s="1" t="s">
        <v>229</v>
      </c>
      <c r="H7" s="1" t="n">
        <f aca="false">COUNTIF(C7:C8,"✔")</f>
        <v>2</v>
      </c>
      <c r="I7" s="1" t="n">
        <v>2</v>
      </c>
      <c r="J7" s="1" t="n">
        <f aca="false">IF(H7=I7,1,0)</f>
        <v>1</v>
      </c>
      <c r="K7" s="1" t="n">
        <f aca="false">J7</f>
        <v>1</v>
      </c>
    </row>
    <row r="8" customFormat="false" ht="21" hidden="false" customHeight="true" outlineLevel="0" collapsed="false">
      <c r="B8" s="70"/>
      <c r="C8" s="74" t="s">
        <v>51</v>
      </c>
      <c r="D8" s="75" t="s">
        <v>313</v>
      </c>
      <c r="E8" s="73"/>
      <c r="G8" s="1" t="s">
        <v>314</v>
      </c>
      <c r="H8" s="1" t="n">
        <f aca="false">COUNTIF(C9:C10,"✔")</f>
        <v>2</v>
      </c>
      <c r="I8" s="1" t="n">
        <v>2</v>
      </c>
      <c r="J8" s="1" t="n">
        <f aca="false">IF(H8=I8,1,0)</f>
        <v>1</v>
      </c>
      <c r="K8" s="1" t="n">
        <f aca="false">J8*K7</f>
        <v>1</v>
      </c>
    </row>
    <row r="9" customFormat="false" ht="21" hidden="false" customHeight="true" outlineLevel="0" collapsed="false">
      <c r="B9" s="76" t="s">
        <v>315</v>
      </c>
      <c r="C9" s="77" t="s">
        <v>51</v>
      </c>
      <c r="D9" s="78" t="s">
        <v>316</v>
      </c>
      <c r="E9" s="73" t="str">
        <f aca="false">COUNTIF(C9:C10,"✔")&amp;" / 2"</f>
        <v>2 / 2</v>
      </c>
      <c r="G9" s="1" t="s">
        <v>317</v>
      </c>
      <c r="H9" s="1" t="n">
        <f aca="false">COUNTIF(C11:C12,"✔")</f>
        <v>2</v>
      </c>
      <c r="I9" s="1" t="n">
        <v>2</v>
      </c>
      <c r="J9" s="1" t="n">
        <f aca="false">IF(H9=I9,1,0)</f>
        <v>1</v>
      </c>
      <c r="K9" s="1" t="n">
        <f aca="false">J9*K8</f>
        <v>1</v>
      </c>
    </row>
    <row r="10" customFormat="false" ht="21" hidden="false" customHeight="true" outlineLevel="0" collapsed="false">
      <c r="B10" s="76"/>
      <c r="C10" s="79" t="s">
        <v>51</v>
      </c>
      <c r="D10" s="80" t="s">
        <v>318</v>
      </c>
      <c r="E10" s="73"/>
      <c r="G10" s="1" t="s">
        <v>319</v>
      </c>
      <c r="H10" s="1" t="n">
        <f aca="false">COUNTIF(C13:C14,"✔")</f>
        <v>1</v>
      </c>
      <c r="I10" s="1" t="n">
        <v>2</v>
      </c>
      <c r="J10" s="1" t="n">
        <f aca="false">IF(H10=I10,1,0)</f>
        <v>0</v>
      </c>
      <c r="K10" s="1" t="n">
        <f aca="false">J10*K9</f>
        <v>0</v>
      </c>
    </row>
    <row r="11" customFormat="false" ht="21" hidden="false" customHeight="true" outlineLevel="0" collapsed="false">
      <c r="B11" s="70" t="s">
        <v>320</v>
      </c>
      <c r="C11" s="71" t="s">
        <v>51</v>
      </c>
      <c r="D11" s="72" t="s">
        <v>321</v>
      </c>
      <c r="E11" s="73" t="str">
        <f aca="false">COUNTIF(C11:C12,"✔")&amp;" / 2"</f>
        <v>2 / 2</v>
      </c>
      <c r="G11" s="1" t="s">
        <v>42</v>
      </c>
      <c r="H11" s="1" t="n">
        <f aca="false">COUNTIF(C15:C16,"✔")</f>
        <v>0</v>
      </c>
      <c r="I11" s="1" t="n">
        <v>2</v>
      </c>
      <c r="J11" s="1" t="n">
        <f aca="false">IF(H11=I11,1,0)</f>
        <v>0</v>
      </c>
      <c r="K11" s="1" t="n">
        <f aca="false">J11*K10</f>
        <v>0</v>
      </c>
    </row>
    <row r="12" customFormat="false" ht="21" hidden="false" customHeight="true" outlineLevel="0" collapsed="false">
      <c r="B12" s="70"/>
      <c r="C12" s="74" t="s">
        <v>51</v>
      </c>
      <c r="D12" s="75" t="s">
        <v>322</v>
      </c>
      <c r="E12" s="73"/>
    </row>
    <row r="13" customFormat="false" ht="21" hidden="false" customHeight="true" outlineLevel="0" collapsed="false">
      <c r="B13" s="76" t="s">
        <v>323</v>
      </c>
      <c r="C13" s="77" t="s">
        <v>51</v>
      </c>
      <c r="D13" s="78" t="s">
        <v>324</v>
      </c>
      <c r="E13" s="73" t="str">
        <f aca="false">COUNTIF(C13:C14,"✔")&amp;" / 2"</f>
        <v>1 / 2</v>
      </c>
    </row>
    <row r="14" customFormat="false" ht="21" hidden="false" customHeight="true" outlineLevel="0" collapsed="false">
      <c r="B14" s="76"/>
      <c r="C14" s="79"/>
      <c r="D14" s="80" t="s">
        <v>325</v>
      </c>
      <c r="E14" s="73"/>
    </row>
    <row r="15" customFormat="false" ht="21" hidden="false" customHeight="true" outlineLevel="0" collapsed="false">
      <c r="B15" s="70" t="s">
        <v>326</v>
      </c>
      <c r="C15" s="71"/>
      <c r="D15" s="72" t="s">
        <v>327</v>
      </c>
      <c r="E15" s="73" t="str">
        <f aca="false">COUNTIF(C15:C16,"✔")&amp;" / 2"</f>
        <v>0 / 2</v>
      </c>
    </row>
    <row r="16" customFormat="false" ht="21" hidden="false" customHeight="true" outlineLevel="0" collapsed="false">
      <c r="B16" s="70"/>
      <c r="C16" s="74"/>
      <c r="D16" s="75" t="s">
        <v>328</v>
      </c>
      <c r="E16" s="73"/>
    </row>
  </sheetData>
  <mergeCells count="12">
    <mergeCell ref="B2:D2"/>
    <mergeCell ref="B3:E3"/>
    <mergeCell ref="B7:B8"/>
    <mergeCell ref="E7:E8"/>
    <mergeCell ref="B9:B10"/>
    <mergeCell ref="E9:E10"/>
    <mergeCell ref="B11:B12"/>
    <mergeCell ref="E11:E12"/>
    <mergeCell ref="B13:B14"/>
    <mergeCell ref="E13:E14"/>
    <mergeCell ref="B15:B16"/>
    <mergeCell ref="E15:E16"/>
  </mergeCells>
  <conditionalFormatting sqref="E7:E8">
    <cfRule type="expression" priority="2" aboveAverage="0" equalAverage="0" bottom="0" percent="0" rank="0" text="" dxfId="3">
      <formula>COUNTIF($C$7:$C$8,"✔")=2</formula>
    </cfRule>
  </conditionalFormatting>
  <conditionalFormatting sqref="E9:E10">
    <cfRule type="expression" priority="3" aboveAverage="0" equalAverage="0" bottom="0" percent="0" rank="0" text="" dxfId="3">
      <formula>COUNTIF($C$9:$C$10,"✔")=2</formula>
    </cfRule>
  </conditionalFormatting>
  <conditionalFormatting sqref="E11:E12">
    <cfRule type="expression" priority="4" aboveAverage="0" equalAverage="0" bottom="0" percent="0" rank="0" text="" dxfId="3">
      <formula>COUNTIF($C$11:$C$12,"✔")=2</formula>
    </cfRule>
  </conditionalFormatting>
  <conditionalFormatting sqref="E13:E14">
    <cfRule type="expression" priority="5" aboveAverage="0" equalAverage="0" bottom="0" percent="0" rank="0" text="" dxfId="3">
      <formula>COUNTIF($C$13:$C$14,"✔")=2</formula>
    </cfRule>
  </conditionalFormatting>
  <conditionalFormatting sqref="E15:E16">
    <cfRule type="expression" priority="6" aboveAverage="0" equalAverage="0" bottom="0" percent="0" rank="0" text="" dxfId="3">
      <formula>COUNTIF($C$15:$C$16,"✔")=2</formula>
    </cfRule>
  </conditionalFormatting>
  <conditionalFormatting sqref="C7:C16">
    <cfRule type="expression" priority="7" aboveAverage="0" equalAverage="0" bottom="0" percent="0" rank="0" text="" dxfId="4">
      <formula>C7="✔"</formula>
    </cfRule>
  </conditionalFormatting>
  <dataValidations count="1">
    <dataValidation allowBlank="true" errorStyle="stop" operator="between" showDropDown="false" showErrorMessage="false" showInputMessage="false" sqref="C7:C16" type="list">
      <formula1>"✔"</formula1>
      <formula2>0</formula2>
    </dataValidation>
  </dataValidations>
  <hyperlinks>
    <hyperlink ref="B1" location="Dashboard!A1" display="← Dashboard"/>
  </hyperlinks>
  <printOptions headings="false" gridLines="false" gridLinesSet="true" horizontalCentered="false" verticalCentered="false"/>
  <pageMargins left="0.3" right="0.3" top="0.4" bottom="0.4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LibreOffice/26.2.4.2$Linux_AARCH64 LibreOffice_project/620$Build-2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2026-05-27T15:52:49Z</dcterms:created>
  <dc:creator>openpyxl</dc:creator>
  <dc:description/>
  <dc:language>en-US</dc:language>
  <cp:lastModifiedBy/>
  <dcterms:modified xsi:type="dcterms:W3CDTF">2026-08-12T14:16:12Z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